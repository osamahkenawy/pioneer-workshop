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'Responses'!$A$1:$Y$165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+0;-0;0"/>
    <numFmt numFmtId="167" formatCode="0.0&quot;%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3A5F"/>
      <sz val="12"/>
    </font>
    <font>
      <name val="Arial"/>
      <i val="1"/>
      <color rgb="008B5000"/>
      <sz val="9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1E3A5F"/>
      <sz val="13"/>
    </font>
    <font>
      <name val="Arial"/>
      <b val="1"/>
      <color rgb="001E3A5F"/>
      <sz val="11"/>
    </font>
    <font>
      <name val="Arial"/>
      <b val="1"/>
      <color rgb="009B1C1C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DF2F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2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Pioneer CX</author>
  </authors>
  <commentList>
    <comment ref="T1" authorId="0" shapeId="0">
      <text>
        <t>ces_avg, csat_avg, nps_category and is_flagged are formulas, not typed values: edit an answer column and they follow. The importer recomputes them from the answers regardless, so the sheet and the database can never disagree.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30" customWidth="1" min="4" max="4"/>
    <col width="27" customWidth="1" min="5" max="5"/>
    <col width="20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0" customWidth="1" min="12" max="12"/>
    <col width="62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0" customWidth="1" min="23" max="23"/>
    <col width="19" customWidth="1" min="24" max="24"/>
    <col width="58" customWidth="1" min="25" max="25"/>
  </cols>
  <sheetData>
    <row r="1" ht="30" customHeight="1">
      <c r="A1" s="1" t="inlineStr">
        <is>
          <t>submitted_at</t>
        </is>
      </c>
      <c r="B1" s="1" t="inlineStr">
        <is>
          <t>contact_name</t>
        </is>
      </c>
      <c r="C1" s="1" t="inlineStr">
        <is>
          <t>contact_phone</t>
        </is>
      </c>
      <c r="D1" s="1" t="inlineStr">
        <is>
          <t>contact_email</t>
        </is>
      </c>
      <c r="E1" s="1" t="inlineStr">
        <is>
          <t>branch</t>
        </is>
      </c>
      <c r="F1" s="1" t="inlineStr">
        <is>
          <t>service_requested</t>
        </is>
      </c>
      <c r="G1" s="1" t="inlineStr">
        <is>
          <t>language</t>
        </is>
      </c>
      <c r="H1" s="1" t="inlineStr">
        <is>
          <t>source</t>
        </is>
      </c>
      <c r="I1" s="1" t="inlineStr">
        <is>
          <t>ces_find_channel</t>
        </is>
      </c>
      <c r="J1" s="1" t="inlineStr">
        <is>
          <t>ces_easy_handle</t>
        </is>
      </c>
      <c r="K1" s="1" t="inlineStr">
        <is>
          <t>resolution</t>
        </is>
      </c>
      <c r="L1" s="1" t="inlineStr">
        <is>
          <t>nps_score</t>
        </is>
      </c>
      <c r="M1" s="1" t="inlineStr">
        <is>
          <t>nps_reason</t>
        </is>
      </c>
      <c r="N1" s="1" t="inlineStr">
        <is>
          <t>csat_overall</t>
        </is>
      </c>
      <c r="O1" s="1" t="inlineStr">
        <is>
          <t>csat_as_advertised</t>
        </is>
      </c>
      <c r="P1" s="1" t="inlineStr">
        <is>
          <t>csat_expectations</t>
        </is>
      </c>
      <c r="Q1" s="1" t="inlineStr">
        <is>
          <t>csat_rep_knowledge</t>
        </is>
      </c>
      <c r="R1" s="1" t="inlineStr">
        <is>
          <t>csat_communication</t>
        </is>
      </c>
      <c r="S1" s="1" t="inlineStr">
        <is>
          <t>csat_response_time</t>
        </is>
      </c>
      <c r="T1" s="1" t="inlineStr">
        <is>
          <t>ces_avg</t>
        </is>
      </c>
      <c r="U1" s="1" t="inlineStr">
        <is>
          <t>csat_avg</t>
        </is>
      </c>
      <c r="V1" s="1" t="inlineStr">
        <is>
          <t>nps_category</t>
        </is>
      </c>
      <c r="W1" s="1" t="inlineStr">
        <is>
          <t>is_flagged</t>
        </is>
      </c>
      <c r="X1" s="1" t="inlineStr">
        <is>
          <t>followed_up_at</t>
        </is>
      </c>
      <c r="Y1" s="1" t="inlineStr">
        <is>
          <t>follow_up_notes</t>
        </is>
      </c>
    </row>
    <row r="2">
      <c r="A2" s="2" t="n">
        <v>46204.35609953704</v>
      </c>
      <c r="B2" s="3" t="inlineStr">
        <is>
          <t>Noura Al Kaabi</t>
        </is>
      </c>
      <c r="C2" s="3" t="inlineStr">
        <is>
          <t>+971 52 000 0001</t>
        </is>
      </c>
      <c r="D2" s="3" t="inlineStr">
        <is>
          <t>noura.al.kaabi1@example.com</t>
        </is>
      </c>
      <c r="E2" s="3" t="inlineStr">
        <is>
          <t>Dubai</t>
        </is>
      </c>
      <c r="F2" s="3" t="inlineStr">
        <is>
          <t>oil_change</t>
        </is>
      </c>
      <c r="G2" s="3" t="inlineStr">
        <is>
          <t>en</t>
        </is>
      </c>
      <c r="H2" s="3" t="inlineStr">
        <is>
          <t>qr</t>
        </is>
      </c>
      <c r="I2" s="4" t="n">
        <v>5</v>
      </c>
      <c r="J2" s="4" t="n">
        <v>5</v>
      </c>
      <c r="K2" s="3" t="inlineStr">
        <is>
          <t>yes</t>
        </is>
      </c>
      <c r="L2" s="4" t="n">
        <v>10</v>
      </c>
      <c r="M2" s="5" t="inlineStr">
        <is>
          <t>The whole process was easy — booking online, dropping the car, paying by card.</t>
        </is>
      </c>
      <c r="N2" s="4" t="n">
        <v>4</v>
      </c>
      <c r="O2" s="4" t="n">
        <v>4</v>
      </c>
      <c r="P2" s="4" t="n">
        <v>5</v>
      </c>
      <c r="Q2" s="4" t="n">
        <v>5</v>
      </c>
      <c r="R2" s="4" t="n">
        <v>5</v>
      </c>
      <c r="S2" s="4" t="n">
        <v>5</v>
      </c>
      <c r="T2" s="6">
        <f>ROUND(AVERAGE(I2:J2),2)</f>
        <v/>
      </c>
      <c r="U2" s="6">
        <f>ROUND(AVERAGE(N2:S2),2)</f>
        <v/>
      </c>
      <c r="V2" s="7">
        <f>IF(L2&gt;=9,"promoter",IF(L2&gt;=7,"passive","detractor"))</f>
        <v/>
      </c>
      <c r="W2" s="8">
        <f>IF(OR(V2="detractor",K2&lt;&gt;"yes"),1,0)</f>
        <v/>
      </c>
      <c r="X2" s="3" t="inlineStr"/>
      <c r="Y2" s="5" t="inlineStr"/>
    </row>
    <row r="3">
      <c r="A3" s="2" t="n">
        <v>46204.3762037037</v>
      </c>
      <c r="B3" s="3" t="inlineStr">
        <is>
          <t>Hind Al Balushi</t>
        </is>
      </c>
      <c r="C3" s="3" t="inlineStr">
        <is>
          <t>+971 50 000 0002</t>
        </is>
      </c>
      <c r="D3" s="3" t="inlineStr">
        <is>
          <t>hind.al.balushi2@example.com</t>
        </is>
      </c>
      <c r="E3" s="3" t="inlineStr">
        <is>
          <t>Sharjah</t>
        </is>
      </c>
      <c r="F3" s="3" t="inlineStr">
        <is>
          <t>brake_repair</t>
        </is>
      </c>
      <c r="G3" s="3" t="inlineStr">
        <is>
          <t>en</t>
        </is>
      </c>
      <c r="H3" s="3" t="inlineStr">
        <is>
          <t>link</t>
        </is>
      </c>
      <c r="I3" s="4" t="n">
        <v>5</v>
      </c>
      <c r="J3" s="4" t="n">
        <v>4</v>
      </c>
      <c r="K3" s="3" t="inlineStr">
        <is>
          <t>yes</t>
        </is>
      </c>
      <c r="L3" s="4" t="n">
        <v>9</v>
      </c>
      <c r="M3" s="5" t="inlineStr">
        <is>
          <t>Quoted price was the final price. No surprises on the invoice after the brake job.</t>
        </is>
      </c>
      <c r="N3" s="4" t="n">
        <v>4</v>
      </c>
      <c r="O3" s="4" t="n">
        <v>5</v>
      </c>
      <c r="P3" s="4" t="n">
        <v>5</v>
      </c>
      <c r="Q3" s="4" t="n">
        <v>5</v>
      </c>
      <c r="R3" s="4" t="n">
        <v>5</v>
      </c>
      <c r="S3" s="4" t="n">
        <v>5</v>
      </c>
      <c r="T3" s="6">
        <f>ROUND(AVERAGE(I3:J3),2)</f>
        <v/>
      </c>
      <c r="U3" s="6">
        <f>ROUND(AVERAGE(N3:S3),2)</f>
        <v/>
      </c>
      <c r="V3" s="7">
        <f>IF(L3&gt;=9,"promoter",IF(L3&gt;=7,"passive","detractor"))</f>
        <v/>
      </c>
      <c r="W3" s="8">
        <f>IF(OR(V3="detractor",K3&lt;&gt;"yes"),1,0)</f>
        <v/>
      </c>
      <c r="X3" s="3" t="inlineStr"/>
      <c r="Y3" s="5" t="inlineStr"/>
    </row>
    <row r="4">
      <c r="A4" s="2" t="n">
        <v>46204.39243055556</v>
      </c>
      <c r="B4" s="3" t="inlineStr">
        <is>
          <t>Ariel Malik</t>
        </is>
      </c>
      <c r="C4" s="3" t="inlineStr">
        <is>
          <t>+971 54 000 0003</t>
        </is>
      </c>
      <c r="D4" s="3" t="inlineStr">
        <is>
          <t>ariel.malik3@example.com</t>
        </is>
      </c>
      <c r="E4" s="3" t="inlineStr">
        <is>
          <t>Abu Dhabi</t>
        </is>
      </c>
      <c r="F4" s="3" t="inlineStr">
        <is>
          <t>oil_change</t>
        </is>
      </c>
      <c r="G4" s="3" t="inlineStr">
        <is>
          <t>en</t>
        </is>
      </c>
      <c r="H4" s="3" t="inlineStr">
        <is>
          <t>link</t>
        </is>
      </c>
      <c r="I4" s="4" t="n">
        <v>4</v>
      </c>
      <c r="J4" s="4" t="n">
        <v>4</v>
      </c>
      <c r="K4" s="3" t="inlineStr">
        <is>
          <t>partially</t>
        </is>
      </c>
      <c r="L4" s="4" t="n">
        <v>8</v>
      </c>
      <c r="M4" s="5" t="inlineStr">
        <is>
          <t>Average experience. Nothing went wrong, nothing stood out either.</t>
        </is>
      </c>
      <c r="N4" s="4" t="n">
        <v>4</v>
      </c>
      <c r="O4" s="4" t="n">
        <v>4</v>
      </c>
      <c r="P4" s="4" t="n">
        <v>4</v>
      </c>
      <c r="Q4" s="4" t="n">
        <v>5</v>
      </c>
      <c r="R4" s="4" t="n">
        <v>5</v>
      </c>
      <c r="S4" s="4" t="n">
        <v>4</v>
      </c>
      <c r="T4" s="6">
        <f>ROUND(AVERAGE(I4:J4),2)</f>
        <v/>
      </c>
      <c r="U4" s="6">
        <f>ROUND(AVERAGE(N4:S4),2)</f>
        <v/>
      </c>
      <c r="V4" s="7">
        <f>IF(L4&gt;=9,"promoter",IF(L4&gt;=7,"passive","detractor"))</f>
        <v/>
      </c>
      <c r="W4" s="8">
        <f>IF(OR(V4="detractor",K4&lt;&gt;"yes"),1,0)</f>
        <v/>
      </c>
      <c r="X4" s="2" t="n">
        <v>46206.35076388889</v>
      </c>
      <c r="Y4" s="5" t="inlineStr">
        <is>
          <t>Called and apologised. Technician who handled the job was briefed by the workshop supervisor.</t>
        </is>
      </c>
    </row>
    <row r="5">
      <c r="A5" s="2" t="n">
        <v>46204.4264699074</v>
      </c>
      <c r="B5" s="3" t="inlineStr">
        <is>
          <t>Faisal Kamau</t>
        </is>
      </c>
      <c r="C5" s="3" t="inlineStr">
        <is>
          <t>+971 56 000 0004</t>
        </is>
      </c>
      <c r="D5" s="3" t="inlineStr">
        <is>
          <t>faisal.kamau4@example.com</t>
        </is>
      </c>
      <c r="E5" s="3" t="inlineStr">
        <is>
          <t>Al Ain</t>
        </is>
      </c>
      <c r="F5" s="3" t="inlineStr">
        <is>
          <t>diagnostic</t>
        </is>
      </c>
      <c r="G5" s="3" t="inlineStr">
        <is>
          <t>ar</t>
        </is>
      </c>
      <c r="H5" s="3" t="inlineStr">
        <is>
          <t>link</t>
        </is>
      </c>
      <c r="I5" s="4" t="n">
        <v>1</v>
      </c>
      <c r="J5" s="4" t="n">
        <v>1</v>
      </c>
      <c r="K5" s="3" t="inlineStr">
        <is>
          <t>yes</t>
        </is>
      </c>
      <c r="L5" s="4" t="n">
        <v>2</v>
      </c>
      <c r="M5" s="5" t="inlineStr">
        <is>
          <t>لم يتم حل المشكلة بشكل كامل ولم يتواصل معي أحد.</t>
        </is>
      </c>
      <c r="N5" s="4" t="n">
        <v>1</v>
      </c>
      <c r="O5" s="4" t="n">
        <v>2</v>
      </c>
      <c r="P5" s="4" t="n">
        <v>1</v>
      </c>
      <c r="Q5" s="4" t="n">
        <v>1</v>
      </c>
      <c r="R5" s="4" t="n">
        <v>1</v>
      </c>
      <c r="S5" s="4" t="n">
        <v>1</v>
      </c>
      <c r="T5" s="6">
        <f>ROUND(AVERAGE(I5:J5),2)</f>
        <v/>
      </c>
      <c r="U5" s="6">
        <f>ROUND(AVERAGE(N5:S5),2)</f>
        <v/>
      </c>
      <c r="V5" s="7">
        <f>IF(L5&gt;=9,"promoter",IF(L5&gt;=7,"passive","detractor"))</f>
        <v/>
      </c>
      <c r="W5" s="8">
        <f>IF(OR(V5="detractor",K5&lt;&gt;"yes"),1,0)</f>
        <v/>
      </c>
      <c r="X5" s="2" t="n">
        <v>46205.8014699074</v>
      </c>
      <c r="Y5" s="5" t="inlineStr">
        <is>
          <t>Called and apologised. Technician who handled the job was briefed by the workshop supervisor.</t>
        </is>
      </c>
    </row>
    <row r="6">
      <c r="A6" s="2" t="n">
        <v>46204.42858796296</v>
      </c>
      <c r="B6" s="3" t="inlineStr">
        <is>
          <t>Amal Whitfield</t>
        </is>
      </c>
      <c r="C6" s="3" t="inlineStr">
        <is>
          <t>+971 54 000 0005</t>
        </is>
      </c>
      <c r="D6" s="3" t="inlineStr">
        <is>
          <t>amal.whitfield5@example.com</t>
        </is>
      </c>
      <c r="E6" s="3" t="inlineStr">
        <is>
          <t>Dubai</t>
        </is>
      </c>
      <c r="F6" s="3" t="inlineStr">
        <is>
          <t>general_maintenance</t>
        </is>
      </c>
      <c r="G6" s="3" t="inlineStr">
        <is>
          <t>en</t>
        </is>
      </c>
      <c r="H6" s="3" t="inlineStr">
        <is>
          <t>staff</t>
        </is>
      </c>
      <c r="I6" s="4" t="n">
        <v>3</v>
      </c>
      <c r="J6" s="4" t="n">
        <v>3</v>
      </c>
      <c r="K6" s="3" t="inlineStr">
        <is>
          <t>partially</t>
        </is>
      </c>
      <c r="L6" s="4" t="n">
        <v>8</v>
      </c>
      <c r="M6" s="5" t="inlineStr">
        <is>
          <t>Good workmanship. Communication could be better — I had to call twice for an update.</t>
        </is>
      </c>
      <c r="N6" s="4" t="n">
        <v>4</v>
      </c>
      <c r="O6" s="4" t="n">
        <v>5</v>
      </c>
      <c r="P6" s="4" t="n">
        <v>3</v>
      </c>
      <c r="Q6" s="4" t="n">
        <v>4</v>
      </c>
      <c r="R6" s="4" t="n">
        <v>5</v>
      </c>
      <c r="S6" s="4" t="n">
        <v>4</v>
      </c>
      <c r="T6" s="6">
        <f>ROUND(AVERAGE(I6:J6),2)</f>
        <v/>
      </c>
      <c r="U6" s="6">
        <f>ROUND(AVERAGE(N6:S6),2)</f>
        <v/>
      </c>
      <c r="V6" s="7">
        <f>IF(L6&gt;=9,"promoter",IF(L6&gt;=7,"passive","detractor"))</f>
        <v/>
      </c>
      <c r="W6" s="8">
        <f>IF(OR(V6="detractor",K6&lt;&gt;"yes"),1,0)</f>
        <v/>
      </c>
      <c r="X6" s="2" t="n">
        <v>46204.7619212963</v>
      </c>
      <c r="Y6" s="5" t="inlineStr">
        <is>
          <t>Discussed the quote variance with the customer; the extra labour line was waived.</t>
        </is>
      </c>
    </row>
    <row r="7">
      <c r="A7" s="2" t="n">
        <v>46204.49125</v>
      </c>
      <c r="B7" s="3" t="inlineStr">
        <is>
          <t>Rashid Aquino</t>
        </is>
      </c>
      <c r="C7" s="3" t="inlineStr">
        <is>
          <t>+971 50 000 0006</t>
        </is>
      </c>
      <c r="D7" s="3" t="inlineStr">
        <is>
          <t>rashid.aquino6@example.com</t>
        </is>
      </c>
      <c r="E7" s="3" t="inlineStr">
        <is>
          <t>Dubai</t>
        </is>
      </c>
      <c r="F7" s="3" t="inlineStr">
        <is>
          <t>oil_change</t>
        </is>
      </c>
      <c r="G7" s="3" t="inlineStr">
        <is>
          <t>en</t>
        </is>
      </c>
      <c r="H7" s="3" t="inlineStr">
        <is>
          <t>link</t>
        </is>
      </c>
      <c r="I7" s="4" t="n">
        <v>4</v>
      </c>
      <c r="J7" s="4" t="n">
        <v>3</v>
      </c>
      <c r="K7" s="3" t="inlineStr">
        <is>
          <t>partially</t>
        </is>
      </c>
      <c r="L7" s="4" t="n">
        <v>8</v>
      </c>
      <c r="M7" s="5" t="inlineStr">
        <is>
          <t>Reasonable service. I would like a clearer breakdown of labour versus parts on the invoice.</t>
        </is>
      </c>
      <c r="N7" s="4" t="n">
        <v>5</v>
      </c>
      <c r="O7" s="4" t="n">
        <v>4</v>
      </c>
      <c r="P7" s="4" t="n">
        <v>4</v>
      </c>
      <c r="Q7" s="4" t="n">
        <v>5</v>
      </c>
      <c r="R7" s="4" t="n">
        <v>3</v>
      </c>
      <c r="S7" s="4" t="n">
        <v>4</v>
      </c>
      <c r="T7" s="6">
        <f>ROUND(AVERAGE(I7:J7),2)</f>
        <v/>
      </c>
      <c r="U7" s="6">
        <f>ROUND(AVERAGE(N7:S7),2)</f>
        <v/>
      </c>
      <c r="V7" s="7">
        <f>IF(L7&gt;=9,"promoter",IF(L7&gt;=7,"passive","detractor"))</f>
        <v/>
      </c>
      <c r="W7" s="8">
        <f>IF(OR(V7="detractor",K7&lt;&gt;"yes"),1,0)</f>
        <v/>
      </c>
      <c r="X7" s="2" t="n">
        <v>46206.74125</v>
      </c>
      <c r="Y7" s="5" t="inlineStr">
        <is>
          <t>Called and apologised. Technician who handled the job was briefed by the workshop supervisor.</t>
        </is>
      </c>
    </row>
    <row r="8">
      <c r="A8" s="2" t="n">
        <v>46204.60936342592</v>
      </c>
      <c r="B8" s="3" t="inlineStr">
        <is>
          <t>Yousef Mendoza</t>
        </is>
      </c>
      <c r="C8" s="3" t="inlineStr">
        <is>
          <t>+971 52 000 0007</t>
        </is>
      </c>
      <c r="D8" s="3" t="inlineStr">
        <is>
          <t>yousef.mendoza7@example.com</t>
        </is>
      </c>
      <c r="E8" s="3" t="inlineStr">
        <is>
          <t>Sharjah</t>
        </is>
      </c>
      <c r="F8" s="3" t="inlineStr">
        <is>
          <t>general_maintenance</t>
        </is>
      </c>
      <c r="G8" s="3" t="inlineStr">
        <is>
          <t>en</t>
        </is>
      </c>
      <c r="H8" s="3" t="inlineStr">
        <is>
          <t>link</t>
        </is>
      </c>
      <c r="I8" s="4" t="n">
        <v>4</v>
      </c>
      <c r="J8" s="4" t="n">
        <v>5</v>
      </c>
      <c r="K8" s="3" t="inlineStr">
        <is>
          <t>yes</t>
        </is>
      </c>
      <c r="L8" s="4" t="n">
        <v>10</v>
      </c>
      <c r="M8" s="5" t="inlineStr">
        <is>
          <t>They followed up a week later to check the car was still running well.</t>
        </is>
      </c>
      <c r="N8" s="4" t="n">
        <v>5</v>
      </c>
      <c r="O8" s="4" t="n">
        <v>4</v>
      </c>
      <c r="P8" s="4" t="n">
        <v>5</v>
      </c>
      <c r="Q8" s="4" t="n">
        <v>5</v>
      </c>
      <c r="R8" s="4" t="n">
        <v>5</v>
      </c>
      <c r="S8" s="4" t="n">
        <v>5</v>
      </c>
      <c r="T8" s="6">
        <f>ROUND(AVERAGE(I8:J8),2)</f>
        <v/>
      </c>
      <c r="U8" s="6">
        <f>ROUND(AVERAGE(N8:S8),2)</f>
        <v/>
      </c>
      <c r="V8" s="7">
        <f>IF(L8&gt;=9,"promoter",IF(L8&gt;=7,"passive","detractor"))</f>
        <v/>
      </c>
      <c r="W8" s="8">
        <f>IF(OR(V8="detractor",K8&lt;&gt;"yes"),1,0)</f>
        <v/>
      </c>
      <c r="X8" s="3" t="inlineStr"/>
      <c r="Y8" s="5" t="inlineStr"/>
    </row>
    <row r="9">
      <c r="A9" s="2" t="n">
        <v>46204.68377314815</v>
      </c>
      <c r="B9" s="3" t="inlineStr">
        <is>
          <t>Rajesh Harrison</t>
        </is>
      </c>
      <c r="C9" s="3" t="inlineStr">
        <is>
          <t>+971 58 000 0008</t>
        </is>
      </c>
      <c r="D9" s="3" t="inlineStr">
        <is>
          <t>rajesh.harrison8@example.com</t>
        </is>
      </c>
      <c r="E9" s="3" t="inlineStr">
        <is>
          <t>Abu Dhabi</t>
        </is>
      </c>
      <c r="F9" s="3" t="inlineStr">
        <is>
          <t>general_maintenance</t>
        </is>
      </c>
      <c r="G9" s="3" t="inlineStr">
        <is>
          <t>en</t>
        </is>
      </c>
      <c r="H9" s="3" t="inlineStr">
        <is>
          <t>link</t>
        </is>
      </c>
      <c r="I9" s="4" t="n">
        <v>2</v>
      </c>
      <c r="J9" s="4" t="n">
        <v>3</v>
      </c>
      <c r="K9" s="3" t="inlineStr">
        <is>
          <t>partially</t>
        </is>
      </c>
      <c r="L9" s="4" t="n">
        <v>4</v>
      </c>
      <c r="M9" s="5" t="inlineStr">
        <is>
          <t>They could not diagnose the fault and still charged me the full inspection fee.</t>
        </is>
      </c>
      <c r="N9" s="4" t="n">
        <v>3</v>
      </c>
      <c r="O9" s="4" t="n">
        <v>2</v>
      </c>
      <c r="P9" s="4" t="n">
        <v>2</v>
      </c>
      <c r="Q9" s="4" t="n">
        <v>3</v>
      </c>
      <c r="R9" s="4" t="n">
        <v>2</v>
      </c>
      <c r="S9" s="4" t="n">
        <v>1</v>
      </c>
      <c r="T9" s="6">
        <f>ROUND(AVERAGE(I9:J9),2)</f>
        <v/>
      </c>
      <c r="U9" s="6">
        <f>ROUND(AVERAGE(N9:S9),2)</f>
        <v/>
      </c>
      <c r="V9" s="7">
        <f>IF(L9&gt;=9,"promoter",IF(L9&gt;=7,"passive","detractor"))</f>
        <v/>
      </c>
      <c r="W9" s="8">
        <f>IF(OR(V9="detractor",K9&lt;&gt;"yes"),1,0)</f>
        <v/>
      </c>
      <c r="X9" s="3" t="inlineStr"/>
      <c r="Y9" s="5" t="inlineStr"/>
    </row>
    <row r="10">
      <c r="A10" s="2" t="n">
        <v>46204.78875</v>
      </c>
      <c r="B10" s="3" t="inlineStr">
        <is>
          <t>Manoj Kamau</t>
        </is>
      </c>
      <c r="C10" s="3" t="inlineStr">
        <is>
          <t>+971 54 000 0009</t>
        </is>
      </c>
      <c r="D10" s="3" t="inlineStr">
        <is>
          <t>manoj.kamau9@example.com</t>
        </is>
      </c>
      <c r="E10" s="3" t="inlineStr">
        <is>
          <t>Dubai</t>
        </is>
      </c>
      <c r="F10" s="3" t="inlineStr">
        <is>
          <t>transmission</t>
        </is>
      </c>
      <c r="G10" s="3" t="inlineStr">
        <is>
          <t>en</t>
        </is>
      </c>
      <c r="H10" s="3" t="inlineStr">
        <is>
          <t>portal</t>
        </is>
      </c>
      <c r="I10" s="4" t="n">
        <v>4</v>
      </c>
      <c r="J10" s="4" t="n">
        <v>5</v>
      </c>
      <c r="K10" s="3" t="inlineStr">
        <is>
          <t>yes</t>
        </is>
      </c>
      <c r="L10" s="4" t="n">
        <v>10</v>
      </c>
      <c r="M10" s="5" t="inlineStr">
        <is>
          <t>They sent me photos of the old parts before replacing anything. That kind of transparency is rare.</t>
        </is>
      </c>
      <c r="N10" s="4" t="n">
        <v>5</v>
      </c>
      <c r="O10" s="4" t="n">
        <v>5</v>
      </c>
      <c r="P10" s="4" t="n">
        <v>5</v>
      </c>
      <c r="Q10" s="4" t="n">
        <v>5</v>
      </c>
      <c r="R10" s="4" t="n">
        <v>5</v>
      </c>
      <c r="S10" s="4" t="n">
        <v>5</v>
      </c>
      <c r="T10" s="6">
        <f>ROUND(AVERAGE(I10:J10),2)</f>
        <v/>
      </c>
      <c r="U10" s="6">
        <f>ROUND(AVERAGE(N10:S10),2)</f>
        <v/>
      </c>
      <c r="V10" s="7">
        <f>IF(L10&gt;=9,"promoter",IF(L10&gt;=7,"passive","detractor"))</f>
        <v/>
      </c>
      <c r="W10" s="8">
        <f>IF(OR(V10="detractor",K10&lt;&gt;"yes"),1,0)</f>
        <v/>
      </c>
      <c r="X10" s="3" t="inlineStr"/>
      <c r="Y10" s="5" t="inlineStr"/>
    </row>
    <row r="11">
      <c r="A11" s="2" t="n">
        <v>46205.34981481481</v>
      </c>
      <c r="B11" s="3" t="inlineStr">
        <is>
          <t>Michael Reddy</t>
        </is>
      </c>
      <c r="C11" s="3" t="inlineStr">
        <is>
          <t>+971 50 000 0010</t>
        </is>
      </c>
      <c r="D11" s="3" t="inlineStr">
        <is>
          <t>michael.reddy10@example.com</t>
        </is>
      </c>
      <c r="E11" s="3" t="inlineStr">
        <is>
          <t>Dubai</t>
        </is>
      </c>
      <c r="F11" s="3" t="inlineStr">
        <is>
          <t>brake_repair</t>
        </is>
      </c>
      <c r="G11" s="3" t="inlineStr">
        <is>
          <t>ar</t>
        </is>
      </c>
      <c r="H11" s="3" t="inlineStr">
        <is>
          <t>link</t>
        </is>
      </c>
      <c r="I11" s="4" t="n">
        <v>3</v>
      </c>
      <c r="J11" s="4" t="n">
        <v>1</v>
      </c>
      <c r="K11" s="3" t="inlineStr">
        <is>
          <t>no</t>
        </is>
      </c>
      <c r="L11" s="4" t="n">
        <v>5</v>
      </c>
      <c r="M11" s="5" t="inlineStr">
        <is>
          <t>لم يتم حل المشكلة بشكل كامل ولم يتواصل معي أحد.</t>
        </is>
      </c>
      <c r="N11" s="4" t="n">
        <v>2</v>
      </c>
      <c r="O11" s="4" t="n">
        <v>1</v>
      </c>
      <c r="P11" s="4" t="n">
        <v>1</v>
      </c>
      <c r="Q11" s="4" t="n">
        <v>3</v>
      </c>
      <c r="R11" s="4" t="n">
        <v>3</v>
      </c>
      <c r="S11" s="4" t="n">
        <v>1</v>
      </c>
      <c r="T11" s="6">
        <f>ROUND(AVERAGE(I11:J11),2)</f>
        <v/>
      </c>
      <c r="U11" s="6">
        <f>ROUND(AVERAGE(N11:S11),2)</f>
        <v/>
      </c>
      <c r="V11" s="7">
        <f>IF(L11&gt;=9,"promoter",IF(L11&gt;=7,"passive","detractor"))</f>
        <v/>
      </c>
      <c r="W11" s="8">
        <f>IF(OR(V11="detractor",K11&lt;&gt;"yes"),1,0)</f>
        <v/>
      </c>
      <c r="X11" s="2" t="n">
        <v>46206.64148148148</v>
      </c>
      <c r="Y11" s="5" t="inlineStr">
        <is>
          <t>Followed up by phone. Customer declined a return visit but accepted the apology.</t>
        </is>
      </c>
    </row>
    <row r="12">
      <c r="A12" s="2" t="n">
        <v>46205.39099537037</v>
      </c>
      <c r="B12" s="3" t="inlineStr">
        <is>
          <t>Salma Al Zaabi</t>
        </is>
      </c>
      <c r="C12" s="3" t="inlineStr">
        <is>
          <t>+971 55 000 0011</t>
        </is>
      </c>
      <c r="D12" s="3" t="inlineStr">
        <is>
          <t>salma.al.zaabi11@example.com</t>
        </is>
      </c>
      <c r="E12" s="3" t="inlineStr">
        <is>
          <t>Sharjah</t>
        </is>
      </c>
      <c r="F12" s="3" t="inlineStr">
        <is>
          <t>general_maintenance</t>
        </is>
      </c>
      <c r="G12" s="3" t="inlineStr">
        <is>
          <t>en</t>
        </is>
      </c>
      <c r="H12" s="3" t="inlineStr">
        <is>
          <t>link</t>
        </is>
      </c>
      <c r="I12" s="4" t="n">
        <v>4</v>
      </c>
      <c r="J12" s="4" t="n">
        <v>4</v>
      </c>
      <c r="K12" s="3" t="inlineStr">
        <is>
          <t>yes</t>
        </is>
      </c>
      <c r="L12" s="4" t="n">
        <v>7</v>
      </c>
      <c r="M12" s="5" t="inlineStr">
        <is>
          <t>Fine service, though I was not told about an extra charge until I came to pay.</t>
        </is>
      </c>
      <c r="N12" s="4" t="n">
        <v>3</v>
      </c>
      <c r="O12" s="4" t="n">
        <v>3</v>
      </c>
      <c r="P12" s="4" t="n">
        <v>3</v>
      </c>
      <c r="Q12" s="4" t="n">
        <v>2</v>
      </c>
      <c r="R12" s="4" t="n">
        <v>2</v>
      </c>
      <c r="S12" s="4" t="n">
        <v>3</v>
      </c>
      <c r="T12" s="6">
        <f>ROUND(AVERAGE(I12:J12),2)</f>
        <v/>
      </c>
      <c r="U12" s="6">
        <f>ROUND(AVERAGE(N12:S12),2)</f>
        <v/>
      </c>
      <c r="V12" s="7">
        <f>IF(L12&gt;=9,"promoter",IF(L12&gt;=7,"passive","detractor"))</f>
        <v/>
      </c>
      <c r="W12" s="8">
        <f>IF(OR(V12="detractor",K12&lt;&gt;"yes"),1,0)</f>
        <v/>
      </c>
      <c r="X12" s="3" t="inlineStr"/>
      <c r="Y12" s="5" t="inlineStr"/>
    </row>
    <row r="13">
      <c r="A13" s="2" t="n">
        <v>46205.43638888889</v>
      </c>
      <c r="B13" s="3" t="inlineStr">
        <is>
          <t>Marife Al Blooshi</t>
        </is>
      </c>
      <c r="C13" s="3" t="inlineStr">
        <is>
          <t>+971 50 000 0012</t>
        </is>
      </c>
      <c r="D13" s="3" t="inlineStr">
        <is>
          <t>marife.al.blooshi12@example.com</t>
        </is>
      </c>
      <c r="E13" s="3" t="inlineStr">
        <is>
          <t>Abu Dhabi</t>
        </is>
      </c>
      <c r="F13" s="3" t="inlineStr">
        <is>
          <t>brake_repair</t>
        </is>
      </c>
      <c r="G13" s="3" t="inlineStr">
        <is>
          <t>en</t>
        </is>
      </c>
      <c r="H13" s="3" t="inlineStr">
        <is>
          <t>link</t>
        </is>
      </c>
      <c r="I13" s="4" t="n">
        <v>4</v>
      </c>
      <c r="J13" s="4" t="n">
        <v>4</v>
      </c>
      <c r="K13" s="3" t="inlineStr">
        <is>
          <t>yes</t>
        </is>
      </c>
      <c r="L13" s="4" t="n">
        <v>9</v>
      </c>
      <c r="M13" s="5" t="inlineStr">
        <is>
          <t>Good warranty on the parts and they registered it for me without being asked.</t>
        </is>
      </c>
      <c r="N13" s="4" t="n">
        <v>5</v>
      </c>
      <c r="O13" s="4" t="n">
        <v>5</v>
      </c>
      <c r="P13" s="4" t="n">
        <v>5</v>
      </c>
      <c r="Q13" s="4" t="n">
        <v>5</v>
      </c>
      <c r="R13" s="4" t="n">
        <v>4</v>
      </c>
      <c r="S13" s="4" t="n">
        <v>4</v>
      </c>
      <c r="T13" s="6">
        <f>ROUND(AVERAGE(I13:J13),2)</f>
        <v/>
      </c>
      <c r="U13" s="6">
        <f>ROUND(AVERAGE(N13:S13),2)</f>
        <v/>
      </c>
      <c r="V13" s="7">
        <f>IF(L13&gt;=9,"promoter",IF(L13&gt;=7,"passive","detractor"))</f>
        <v/>
      </c>
      <c r="W13" s="8">
        <f>IF(OR(V13="detractor",K13&lt;&gt;"yes"),1,0)</f>
        <v/>
      </c>
      <c r="X13" s="3" t="inlineStr"/>
      <c r="Y13" s="5" t="inlineStr"/>
    </row>
    <row r="14">
      <c r="A14" s="2" t="n">
        <v>46205.43888888889</v>
      </c>
      <c r="B14" s="3" t="inlineStr">
        <is>
          <t>Manoj Mensah</t>
        </is>
      </c>
      <c r="C14" s="3" t="inlineStr">
        <is>
          <t>+971 52 000 0013</t>
        </is>
      </c>
      <c r="D14" s="3" t="inlineStr">
        <is>
          <t>manoj.mensah13@example.com</t>
        </is>
      </c>
      <c r="E14" s="3" t="inlineStr">
        <is>
          <t>Abu Dhabi</t>
        </is>
      </c>
      <c r="F14" s="3" t="inlineStr">
        <is>
          <t>general_maintenance</t>
        </is>
      </c>
      <c r="G14" s="3" t="inlineStr">
        <is>
          <t>en</t>
        </is>
      </c>
      <c r="H14" s="3" t="inlineStr">
        <is>
          <t>link</t>
        </is>
      </c>
      <c r="I14" s="4" t="n">
        <v>5</v>
      </c>
      <c r="J14" s="4" t="n">
        <v>4</v>
      </c>
      <c r="K14" s="3" t="inlineStr">
        <is>
          <t>yes</t>
        </is>
      </c>
      <c r="L14" s="4" t="n">
        <v>9</v>
      </c>
      <c r="M14" s="5" t="inlineStr">
        <is>
          <t>Straightforward, no upselling, and the routine service was completed a day early.</t>
        </is>
      </c>
      <c r="N14" s="4" t="n">
        <v>5</v>
      </c>
      <c r="O14" s="4" t="n">
        <v>5</v>
      </c>
      <c r="P14" s="4" t="n">
        <v>5</v>
      </c>
      <c r="Q14" s="4" t="n">
        <v>5</v>
      </c>
      <c r="R14" s="4" t="n">
        <v>5</v>
      </c>
      <c r="S14" s="4" t="n">
        <v>5</v>
      </c>
      <c r="T14" s="6">
        <f>ROUND(AVERAGE(I14:J14),2)</f>
        <v/>
      </c>
      <c r="U14" s="6">
        <f>ROUND(AVERAGE(N14:S14),2)</f>
        <v/>
      </c>
      <c r="V14" s="7">
        <f>IF(L14&gt;=9,"promoter",IF(L14&gt;=7,"passive","detractor"))</f>
        <v/>
      </c>
      <c r="W14" s="8">
        <f>IF(OR(V14="detractor",K14&lt;&gt;"yes"),1,0)</f>
        <v/>
      </c>
      <c r="X14" s="3" t="inlineStr"/>
      <c r="Y14" s="5" t="inlineStr"/>
    </row>
    <row r="15">
      <c r="A15" s="2" t="n">
        <v>46205.46226851852</v>
      </c>
      <c r="B15" s="3" t="inlineStr">
        <is>
          <t>Adnan Chandran</t>
        </is>
      </c>
      <c r="C15" s="3" t="inlineStr">
        <is>
          <t>+971 55 000 0014</t>
        </is>
      </c>
      <c r="D15" s="3" t="inlineStr">
        <is>
          <t>adnan.chandran14@example.com</t>
        </is>
      </c>
      <c r="E15" s="3" t="inlineStr">
        <is>
          <t>Sharjah</t>
        </is>
      </c>
      <c r="F15" s="3" t="inlineStr">
        <is>
          <t>engine_repair</t>
        </is>
      </c>
      <c r="G15" s="3" t="inlineStr">
        <is>
          <t>en</t>
        </is>
      </c>
      <c r="H15" s="3" t="inlineStr">
        <is>
          <t>link</t>
        </is>
      </c>
      <c r="I15" s="4" t="n">
        <v>4</v>
      </c>
      <c r="J15" s="4" t="n">
        <v>4</v>
      </c>
      <c r="K15" s="3" t="inlineStr">
        <is>
          <t>yes</t>
        </is>
      </c>
      <c r="L15" s="4" t="n">
        <v>10</v>
      </c>
      <c r="M15" s="5" t="inlineStr">
        <is>
          <t>Very satisfied — the invoice was itemised and every line was explained.</t>
        </is>
      </c>
      <c r="N15" s="4" t="n">
        <v>4</v>
      </c>
      <c r="O15" s="4" t="n">
        <v>5</v>
      </c>
      <c r="P15" s="4" t="n">
        <v>5</v>
      </c>
      <c r="Q15" s="4" t="n">
        <v>4</v>
      </c>
      <c r="R15" s="4" t="n">
        <v>5</v>
      </c>
      <c r="S15" s="4" t="n">
        <v>4</v>
      </c>
      <c r="T15" s="6">
        <f>ROUND(AVERAGE(I15:J15),2)</f>
        <v/>
      </c>
      <c r="U15" s="6">
        <f>ROUND(AVERAGE(N15:S15),2)</f>
        <v/>
      </c>
      <c r="V15" s="7">
        <f>IF(L15&gt;=9,"promoter",IF(L15&gt;=7,"passive","detractor"))</f>
        <v/>
      </c>
      <c r="W15" s="8">
        <f>IF(OR(V15="detractor",K15&lt;&gt;"yes"),1,0)</f>
        <v/>
      </c>
      <c r="X15" s="3" t="inlineStr"/>
      <c r="Y15" s="5" t="inlineStr"/>
    </row>
    <row r="16">
      <c r="A16" s="2" t="n">
        <v>46205.47858796296</v>
      </c>
      <c r="B16" s="3" t="inlineStr">
        <is>
          <t>Vinu Mathew</t>
        </is>
      </c>
      <c r="C16" s="3" t="inlineStr">
        <is>
          <t>+971 50 000 0015</t>
        </is>
      </c>
      <c r="D16" s="3" t="inlineStr">
        <is>
          <t>vinu.mathew15@example.com</t>
        </is>
      </c>
      <c r="E16" s="3" t="inlineStr">
        <is>
          <t>Dubai</t>
        </is>
      </c>
      <c r="F16" s="3" t="inlineStr">
        <is>
          <t>tire_service</t>
        </is>
      </c>
      <c r="G16" s="3" t="inlineStr">
        <is>
          <t>en</t>
        </is>
      </c>
      <c r="H16" s="3" t="inlineStr">
        <is>
          <t>link</t>
        </is>
      </c>
      <c r="I16" s="4" t="n">
        <v>4</v>
      </c>
      <c r="J16" s="4" t="n">
        <v>5</v>
      </c>
      <c r="K16" s="3" t="inlineStr">
        <is>
          <t>yes</t>
        </is>
      </c>
      <c r="L16" s="4" t="n">
        <v>9</v>
      </c>
      <c r="M16" s="5" t="inlineStr">
        <is>
          <t>I have been coming here for three years. the tyre work is always done right the first time.</t>
        </is>
      </c>
      <c r="N16" s="4" t="n">
        <v>3</v>
      </c>
      <c r="O16" s="4" t="n">
        <v>3</v>
      </c>
      <c r="P16" s="4" t="n">
        <v>4</v>
      </c>
      <c r="Q16" s="4" t="n">
        <v>3</v>
      </c>
      <c r="R16" s="4" t="n">
        <v>4</v>
      </c>
      <c r="S16" s="4" t="n">
        <v>4</v>
      </c>
      <c r="T16" s="6">
        <f>ROUND(AVERAGE(I16:J16),2)</f>
        <v/>
      </c>
      <c r="U16" s="6">
        <f>ROUND(AVERAGE(N16:S16),2)</f>
        <v/>
      </c>
      <c r="V16" s="7">
        <f>IF(L16&gt;=9,"promoter",IF(L16&gt;=7,"passive","detractor"))</f>
        <v/>
      </c>
      <c r="W16" s="8">
        <f>IF(OR(V16="detractor",K16&lt;&gt;"yes"),1,0)</f>
        <v/>
      </c>
      <c r="X16" s="3" t="inlineStr"/>
      <c r="Y16" s="5" t="inlineStr"/>
    </row>
    <row r="17">
      <c r="A17" s="2" t="n">
        <v>46205.75810185185</v>
      </c>
      <c r="B17" s="3" t="inlineStr">
        <is>
          <t>Shalini Al Mansoori</t>
        </is>
      </c>
      <c r="C17" s="3" t="inlineStr">
        <is>
          <t>+971 58 000 0016</t>
        </is>
      </c>
      <c r="D17" s="3" t="inlineStr">
        <is>
          <t>shalini.al.mansoori16@example.com</t>
        </is>
      </c>
      <c r="E17" s="3" t="inlineStr">
        <is>
          <t>Sharjah</t>
        </is>
      </c>
      <c r="F17" s="3" t="inlineStr">
        <is>
          <t>general_maintenance</t>
        </is>
      </c>
      <c r="G17" s="3" t="inlineStr">
        <is>
          <t>en</t>
        </is>
      </c>
      <c r="H17" s="3" t="inlineStr">
        <is>
          <t>staff</t>
        </is>
      </c>
      <c r="I17" s="4" t="n">
        <v>4</v>
      </c>
      <c r="J17" s="4" t="n">
        <v>5</v>
      </c>
      <c r="K17" s="3" t="inlineStr">
        <is>
          <t>yes</t>
        </is>
      </c>
      <c r="L17" s="4" t="n">
        <v>10</v>
      </c>
      <c r="M17" s="5" t="inlineStr">
        <is>
          <t>Best experience I have had with a garage in the UAE. the routine service done properly and on budget.</t>
        </is>
      </c>
      <c r="N17" s="4" t="n">
        <v>5</v>
      </c>
      <c r="O17" s="4" t="n">
        <v>5</v>
      </c>
      <c r="P17" s="4" t="n">
        <v>4</v>
      </c>
      <c r="Q17" s="4" t="n">
        <v>5</v>
      </c>
      <c r="R17" s="4" t="n">
        <v>4</v>
      </c>
      <c r="S17" s="4" t="n">
        <v>4</v>
      </c>
      <c r="T17" s="6">
        <f>ROUND(AVERAGE(I17:J17),2)</f>
        <v/>
      </c>
      <c r="U17" s="6">
        <f>ROUND(AVERAGE(N17:S17),2)</f>
        <v/>
      </c>
      <c r="V17" s="7">
        <f>IF(L17&gt;=9,"promoter",IF(L17&gt;=7,"passive","detractor"))</f>
        <v/>
      </c>
      <c r="W17" s="8">
        <f>IF(OR(V17="detractor",K17&lt;&gt;"yes"),1,0)</f>
        <v/>
      </c>
      <c r="X17" s="3" t="inlineStr"/>
      <c r="Y17" s="5" t="inlineStr"/>
    </row>
    <row r="18">
      <c r="A18" s="2" t="n">
        <v>46205.8699537037</v>
      </c>
      <c r="B18" s="3" t="inlineStr">
        <is>
          <t>Fatima Al Yammahi</t>
        </is>
      </c>
      <c r="C18" s="3" t="inlineStr">
        <is>
          <t>+971 58 000 0017</t>
        </is>
      </c>
      <c r="D18" s="3" t="inlineStr">
        <is>
          <t>fatima.al.yammahi17@example.com</t>
        </is>
      </c>
      <c r="E18" s="3" t="inlineStr">
        <is>
          <t>Al Ain</t>
        </is>
      </c>
      <c r="F18" s="3" t="inlineStr">
        <is>
          <t>tire_service</t>
        </is>
      </c>
      <c r="G18" s="3" t="inlineStr">
        <is>
          <t>en</t>
        </is>
      </c>
      <c r="H18" s="3" t="inlineStr">
        <is>
          <t>link</t>
        </is>
      </c>
      <c r="I18" s="4" t="n">
        <v>5</v>
      </c>
      <c r="J18" s="4" t="n">
        <v>4</v>
      </c>
      <c r="K18" s="3" t="inlineStr">
        <is>
          <t>yes</t>
        </is>
      </c>
      <c r="L18" s="4" t="n">
        <v>9</v>
      </c>
      <c r="M18" s="5" t="inlineStr">
        <is>
          <t>The service advisor explained exactly what the tyre work needed and what could wait. No pressure to spend more.</t>
        </is>
      </c>
      <c r="N18" s="4" t="n">
        <v>4</v>
      </c>
      <c r="O18" s="4" t="n">
        <v>5</v>
      </c>
      <c r="P18" s="4" t="n">
        <v>4</v>
      </c>
      <c r="Q18" s="4" t="n">
        <v>5</v>
      </c>
      <c r="R18" s="4" t="n">
        <v>5</v>
      </c>
      <c r="S18" s="4" t="n">
        <v>4</v>
      </c>
      <c r="T18" s="6">
        <f>ROUND(AVERAGE(I18:J18),2)</f>
        <v/>
      </c>
      <c r="U18" s="6">
        <f>ROUND(AVERAGE(N18:S18),2)</f>
        <v/>
      </c>
      <c r="V18" s="7">
        <f>IF(L18&gt;=9,"promoter",IF(L18&gt;=7,"passive","detractor"))</f>
        <v/>
      </c>
      <c r="W18" s="8">
        <f>IF(OR(V18="detractor",K18&lt;&gt;"yes"),1,0)</f>
        <v/>
      </c>
      <c r="X18" s="3" t="inlineStr"/>
      <c r="Y18" s="5" t="inlineStr"/>
    </row>
    <row r="19">
      <c r="A19" s="2" t="n">
        <v>46206.48503472222</v>
      </c>
      <c r="B19" s="3" t="inlineStr">
        <is>
          <t>Abdulla Mensah</t>
        </is>
      </c>
      <c r="C19" s="3" t="inlineStr">
        <is>
          <t>+971 54 000 0018</t>
        </is>
      </c>
      <c r="D19" s="3" t="inlineStr">
        <is>
          <t>abdulla.mensah18@example.com</t>
        </is>
      </c>
      <c r="E19" s="3" t="inlineStr">
        <is>
          <t>Sharjah</t>
        </is>
      </c>
      <c r="F19" s="3" t="inlineStr">
        <is>
          <t>bodywork</t>
        </is>
      </c>
      <c r="G19" s="3" t="inlineStr">
        <is>
          <t>ar</t>
        </is>
      </c>
      <c r="H19" s="3" t="inlineStr">
        <is>
          <t>link</t>
        </is>
      </c>
      <c r="I19" s="4" t="n">
        <v>4</v>
      </c>
      <c r="J19" s="4" t="n">
        <v>3</v>
      </c>
      <c r="K19" s="3" t="inlineStr">
        <is>
          <t>yes</t>
        </is>
      </c>
      <c r="L19" s="4" t="n">
        <v>7</v>
      </c>
      <c r="M19" s="5" t="inlineStr">
        <is>
          <t>العمل جيد لكن الانتظار كان أطول من المتوقع.</t>
        </is>
      </c>
      <c r="N19" s="4" t="n">
        <v>4</v>
      </c>
      <c r="O19" s="4" t="n">
        <v>4</v>
      </c>
      <c r="P19" s="4" t="n">
        <v>4</v>
      </c>
      <c r="Q19" s="4" t="n">
        <v>3</v>
      </c>
      <c r="R19" s="4" t="n">
        <v>5</v>
      </c>
      <c r="S19" s="4" t="n">
        <v>3</v>
      </c>
      <c r="T19" s="6">
        <f>ROUND(AVERAGE(I19:J19),2)</f>
        <v/>
      </c>
      <c r="U19" s="6">
        <f>ROUND(AVERAGE(N19:S19),2)</f>
        <v/>
      </c>
      <c r="V19" s="7">
        <f>IF(L19&gt;=9,"promoter",IF(L19&gt;=7,"passive","detractor"))</f>
        <v/>
      </c>
      <c r="W19" s="8">
        <f>IF(OR(V19="detractor",K19&lt;&gt;"yes"),1,0)</f>
        <v/>
      </c>
      <c r="X19" s="3" t="inlineStr"/>
      <c r="Y19" s="5" t="inlineStr"/>
    </row>
    <row r="20">
      <c r="A20" s="2" t="n">
        <v>46206.7059837963</v>
      </c>
      <c r="B20" s="3" t="inlineStr">
        <is>
          <t>Tariq Al Hosani</t>
        </is>
      </c>
      <c r="C20" s="3" t="inlineStr">
        <is>
          <t>+971 52 000 0019</t>
        </is>
      </c>
      <c r="D20" s="3" t="inlineStr">
        <is>
          <t>tariq.al.hosani19@example.com</t>
        </is>
      </c>
      <c r="E20" s="3" t="inlineStr">
        <is>
          <t>Sharjah</t>
        </is>
      </c>
      <c r="F20" s="3" t="inlineStr">
        <is>
          <t>bodywork</t>
        </is>
      </c>
      <c r="G20" s="3" t="inlineStr">
        <is>
          <t>ar</t>
        </is>
      </c>
      <c r="H20" s="3" t="inlineStr">
        <is>
          <t>qr</t>
        </is>
      </c>
      <c r="I20" s="4" t="n">
        <v>2</v>
      </c>
      <c r="J20" s="4" t="n">
        <v>2</v>
      </c>
      <c r="K20" s="3" t="inlineStr">
        <is>
          <t>no</t>
        </is>
      </c>
      <c r="L20" s="4" t="n">
        <v>3</v>
      </c>
      <c r="M20" s="5" t="inlineStr">
        <is>
          <t>نفس المشكلة عادت بعد أسبوع واحد واضطررت للرجوع مرة أخرى.</t>
        </is>
      </c>
      <c r="N20" s="4" t="n">
        <v>3</v>
      </c>
      <c r="O20" s="4" t="n">
        <v>2</v>
      </c>
      <c r="P20" s="4" t="n">
        <v>1</v>
      </c>
      <c r="Q20" s="4" t="n">
        <v>2</v>
      </c>
      <c r="R20" s="4" t="n">
        <v>2</v>
      </c>
      <c r="S20" s="4" t="n">
        <v>3</v>
      </c>
      <c r="T20" s="6">
        <f>ROUND(AVERAGE(I20:J20),2)</f>
        <v/>
      </c>
      <c r="U20" s="6">
        <f>ROUND(AVERAGE(N20:S20),2)</f>
        <v/>
      </c>
      <c r="V20" s="7">
        <f>IF(L20&gt;=9,"promoter",IF(L20&gt;=7,"passive","detractor"))</f>
        <v/>
      </c>
      <c r="W20" s="8">
        <f>IF(OR(V20="detractor",K20&lt;&gt;"yes"),1,0)</f>
        <v/>
      </c>
      <c r="X20" s="2" t="n">
        <v>46208.66431712963</v>
      </c>
      <c r="Y20" s="5" t="inlineStr">
        <is>
          <t>Arranged collection of the vehicle at our cost to re-inspect the complaint.</t>
        </is>
      </c>
    </row>
    <row r="21">
      <c r="A21" s="2" t="n">
        <v>46206.78931712963</v>
      </c>
      <c r="B21" s="3" t="inlineStr">
        <is>
          <t>Hamad Rehman</t>
        </is>
      </c>
      <c r="C21" s="3" t="inlineStr">
        <is>
          <t>+971 56 000 0020</t>
        </is>
      </c>
      <c r="D21" s="3" t="inlineStr">
        <is>
          <t>hamad.rehman20@example.com</t>
        </is>
      </c>
      <c r="E21" s="3" t="inlineStr">
        <is>
          <t>Al Ain</t>
        </is>
      </c>
      <c r="F21" s="3" t="inlineStr">
        <is>
          <t>general_maintenance</t>
        </is>
      </c>
      <c r="G21" s="3" t="inlineStr">
        <is>
          <t>en</t>
        </is>
      </c>
      <c r="H21" s="3" t="inlineStr">
        <is>
          <t>link</t>
        </is>
      </c>
      <c r="I21" s="4" t="n">
        <v>1</v>
      </c>
      <c r="J21" s="4" t="n">
        <v>1</v>
      </c>
      <c r="K21" s="3" t="inlineStr">
        <is>
          <t>partially</t>
        </is>
      </c>
      <c r="L21" s="4" t="n">
        <v>5</v>
      </c>
      <c r="M21" s="5" t="inlineStr">
        <is>
          <t>the routine service was not completed properly and I had to go elsewhere to have it corrected.</t>
        </is>
      </c>
      <c r="N21" s="4" t="n">
        <v>3</v>
      </c>
      <c r="O21" s="4" t="n">
        <v>3</v>
      </c>
      <c r="P21" s="4" t="n">
        <v>2</v>
      </c>
      <c r="Q21" s="4" t="n">
        <v>3</v>
      </c>
      <c r="R21" s="4" t="n">
        <v>1</v>
      </c>
      <c r="S21" s="4" t="n">
        <v>3</v>
      </c>
      <c r="T21" s="6">
        <f>ROUND(AVERAGE(I21:J21),2)</f>
        <v/>
      </c>
      <c r="U21" s="6">
        <f>ROUND(AVERAGE(N21:S21),2)</f>
        <v/>
      </c>
      <c r="V21" s="7">
        <f>IF(L21&gt;=9,"promoter",IF(L21&gt;=7,"passive","detractor"))</f>
        <v/>
      </c>
      <c r="W21" s="8">
        <f>IF(OR(V21="detractor",K21&lt;&gt;"yes"),1,0)</f>
        <v/>
      </c>
      <c r="X21" s="3" t="inlineStr"/>
      <c r="Y21" s="5" t="inlineStr"/>
    </row>
    <row r="22">
      <c r="A22" s="2" t="n">
        <v>46207.40086805556</v>
      </c>
      <c r="B22" s="3" t="inlineStr">
        <is>
          <t>Naveen Sharma</t>
        </is>
      </c>
      <c r="C22" s="3" t="inlineStr">
        <is>
          <t>+971 54 000 0021</t>
        </is>
      </c>
      <c r="D22" s="3" t="inlineStr">
        <is>
          <t>naveen.sharma21@example.com</t>
        </is>
      </c>
      <c r="E22" s="3" t="inlineStr">
        <is>
          <t>Dubai</t>
        </is>
      </c>
      <c r="F22" s="3" t="inlineStr">
        <is>
          <t>general_maintenance</t>
        </is>
      </c>
      <c r="G22" s="3" t="inlineStr">
        <is>
          <t>en</t>
        </is>
      </c>
      <c r="H22" s="3" t="inlineStr">
        <is>
          <t>qr</t>
        </is>
      </c>
      <c r="I22" s="4" t="n">
        <v>5</v>
      </c>
      <c r="J22" s="4" t="n">
        <v>5</v>
      </c>
      <c r="K22" s="3" t="inlineStr">
        <is>
          <t>yes</t>
        </is>
      </c>
      <c r="L22" s="4" t="n">
        <v>9</v>
      </c>
      <c r="M22" s="5" t="inlineStr">
        <is>
          <t>They diagnosed in an hour what two other workshops could not find in a week.</t>
        </is>
      </c>
      <c r="N22" s="4" t="n">
        <v>4</v>
      </c>
      <c r="O22" s="4" t="n">
        <v>5</v>
      </c>
      <c r="P22" s="4" t="n">
        <v>5</v>
      </c>
      <c r="Q22" s="4" t="n">
        <v>5</v>
      </c>
      <c r="R22" s="4" t="n">
        <v>5</v>
      </c>
      <c r="S22" s="4" t="n">
        <v>5</v>
      </c>
      <c r="T22" s="6">
        <f>ROUND(AVERAGE(I22:J22),2)</f>
        <v/>
      </c>
      <c r="U22" s="6">
        <f>ROUND(AVERAGE(N22:S22),2)</f>
        <v/>
      </c>
      <c r="V22" s="7">
        <f>IF(L22&gt;=9,"promoter",IF(L22&gt;=7,"passive","detractor"))</f>
        <v/>
      </c>
      <c r="W22" s="8">
        <f>IF(OR(V22="detractor",K22&lt;&gt;"yes"),1,0)</f>
        <v/>
      </c>
      <c r="X22" s="3" t="inlineStr"/>
      <c r="Y22" s="5" t="inlineStr"/>
    </row>
    <row r="23">
      <c r="A23" s="2" t="n">
        <v>46207.40131944444</v>
      </c>
      <c r="B23" s="3" t="inlineStr">
        <is>
          <t>Abdulla Al Kaabi</t>
        </is>
      </c>
      <c r="C23" s="3" t="inlineStr">
        <is>
          <t>+971 50 000 0022</t>
        </is>
      </c>
      <c r="D23" s="3" t="inlineStr">
        <is>
          <t>abdulla.al.kaabi22@example.com</t>
        </is>
      </c>
      <c r="E23" s="3" t="inlineStr">
        <is>
          <t>Abu Dhabi</t>
        </is>
      </c>
      <c r="F23" s="3" t="inlineStr">
        <is>
          <t>oil_change</t>
        </is>
      </c>
      <c r="G23" s="3" t="inlineStr">
        <is>
          <t>en</t>
        </is>
      </c>
      <c r="H23" s="3" t="inlineStr">
        <is>
          <t>portal</t>
        </is>
      </c>
      <c r="I23" s="4" t="n">
        <v>4</v>
      </c>
      <c r="J23" s="4" t="n">
        <v>3</v>
      </c>
      <c r="K23" s="3" t="inlineStr">
        <is>
          <t>yes</t>
        </is>
      </c>
      <c r="L23" s="4" t="n">
        <v>8</v>
      </c>
      <c r="M23" s="5" t="inlineStr">
        <is>
          <t>Happy with the outcome, less happy with the hour I spent waiting to hand over the keys.</t>
        </is>
      </c>
      <c r="N23" s="4" t="n">
        <v>3</v>
      </c>
      <c r="O23" s="4" t="n">
        <v>3</v>
      </c>
      <c r="P23" s="4" t="n">
        <v>2</v>
      </c>
      <c r="Q23" s="4" t="n">
        <v>2</v>
      </c>
      <c r="R23" s="4" t="n">
        <v>2</v>
      </c>
      <c r="S23" s="4" t="n">
        <v>3</v>
      </c>
      <c r="T23" s="6">
        <f>ROUND(AVERAGE(I23:J23),2)</f>
        <v/>
      </c>
      <c r="U23" s="6">
        <f>ROUND(AVERAGE(N23:S23),2)</f>
        <v/>
      </c>
      <c r="V23" s="7">
        <f>IF(L23&gt;=9,"promoter",IF(L23&gt;=7,"passive","detractor"))</f>
        <v/>
      </c>
      <c r="W23" s="8">
        <f>IF(OR(V23="detractor",K23&lt;&gt;"yes"),1,0)</f>
        <v/>
      </c>
      <c r="X23" s="3" t="inlineStr"/>
      <c r="Y23" s="5" t="inlineStr"/>
    </row>
    <row r="24">
      <c r="A24" s="2" t="n">
        <v>46207.48525462963</v>
      </c>
      <c r="B24" s="3" t="inlineStr">
        <is>
          <t>Ariel Al Nuaimi</t>
        </is>
      </c>
      <c r="C24" s="3" t="inlineStr">
        <is>
          <t>+971 55 000 0023</t>
        </is>
      </c>
      <c r="D24" s="3" t="inlineStr">
        <is>
          <t>ariel.al.nuaimi23@example.com</t>
        </is>
      </c>
      <c r="E24" s="3" t="inlineStr">
        <is>
          <t>Sharjah</t>
        </is>
      </c>
      <c r="F24" s="3" t="inlineStr">
        <is>
          <t>oil_change</t>
        </is>
      </c>
      <c r="G24" s="3" t="inlineStr">
        <is>
          <t>en</t>
        </is>
      </c>
      <c r="H24" s="3" t="inlineStr">
        <is>
          <t>link</t>
        </is>
      </c>
      <c r="I24" s="4" t="n">
        <v>5</v>
      </c>
      <c r="J24" s="4" t="n">
        <v>5</v>
      </c>
      <c r="K24" s="3" t="inlineStr">
        <is>
          <t>yes</t>
        </is>
      </c>
      <c r="L24" s="4" t="n">
        <v>10</v>
      </c>
      <c r="M24" s="5" t="inlineStr">
        <is>
          <t>Very professional from the first call to handover. Nothing to complain about.</t>
        </is>
      </c>
      <c r="N24" s="4" t="n">
        <v>4</v>
      </c>
      <c r="O24" s="4" t="n">
        <v>4</v>
      </c>
      <c r="P24" s="4" t="n">
        <v>4</v>
      </c>
      <c r="Q24" s="4" t="n">
        <v>4</v>
      </c>
      <c r="R24" s="4" t="n">
        <v>3</v>
      </c>
      <c r="S24" s="4" t="n">
        <v>3</v>
      </c>
      <c r="T24" s="6">
        <f>ROUND(AVERAGE(I24:J24),2)</f>
        <v/>
      </c>
      <c r="U24" s="6">
        <f>ROUND(AVERAGE(N24:S24),2)</f>
        <v/>
      </c>
      <c r="V24" s="7">
        <f>IF(L24&gt;=9,"promoter",IF(L24&gt;=7,"passive","detractor"))</f>
        <v/>
      </c>
      <c r="W24" s="8">
        <f>IF(OR(V24="detractor",K24&lt;&gt;"yes"),1,0)</f>
        <v/>
      </c>
      <c r="X24" s="3" t="inlineStr"/>
      <c r="Y24" s="5" t="inlineStr"/>
    </row>
    <row r="25">
      <c r="A25" s="2" t="n">
        <v>46207.49607638889</v>
      </c>
      <c r="B25" s="3" t="inlineStr">
        <is>
          <t>Yousef Aquino</t>
        </is>
      </c>
      <c r="C25" s="3" t="inlineStr">
        <is>
          <t>+971 56 000 0024</t>
        </is>
      </c>
      <c r="D25" s="3" t="inlineStr">
        <is>
          <t>yousef.aquino24@example.com</t>
        </is>
      </c>
      <c r="E25" s="3" t="inlineStr">
        <is>
          <t>Sharjah</t>
        </is>
      </c>
      <c r="F25" s="3" t="inlineStr">
        <is>
          <t>bodywork</t>
        </is>
      </c>
      <c r="G25" s="3" t="inlineStr">
        <is>
          <t>en</t>
        </is>
      </c>
      <c r="H25" s="3" t="inlineStr">
        <is>
          <t>portal</t>
        </is>
      </c>
      <c r="I25" s="4" t="n">
        <v>4</v>
      </c>
      <c r="J25" s="4" t="n">
        <v>4</v>
      </c>
      <c r="K25" s="3" t="inlineStr">
        <is>
          <t>partially</t>
        </is>
      </c>
      <c r="L25" s="4" t="n">
        <v>8</v>
      </c>
      <c r="M25" s="5" t="inlineStr">
        <is>
          <t>Work was correct but it took two visits to sort out completely.</t>
        </is>
      </c>
      <c r="N25" s="4" t="n">
        <v>4</v>
      </c>
      <c r="O25" s="4" t="n">
        <v>5</v>
      </c>
      <c r="P25" s="4" t="n">
        <v>3</v>
      </c>
      <c r="Q25" s="4" t="n">
        <v>5</v>
      </c>
      <c r="R25" s="4" t="n">
        <v>4</v>
      </c>
      <c r="S25" s="4" t="n">
        <v>5</v>
      </c>
      <c r="T25" s="6">
        <f>ROUND(AVERAGE(I25:J25),2)</f>
        <v/>
      </c>
      <c r="U25" s="6">
        <f>ROUND(AVERAGE(N25:S25),2)</f>
        <v/>
      </c>
      <c r="V25" s="7">
        <f>IF(L25&gt;=9,"promoter",IF(L25&gt;=7,"passive","detractor"))</f>
        <v/>
      </c>
      <c r="W25" s="8">
        <f>IF(OR(V25="detractor",K25&lt;&gt;"yes"),1,0)</f>
        <v/>
      </c>
      <c r="X25" s="3" t="inlineStr"/>
      <c r="Y25" s="5" t="inlineStr"/>
    </row>
    <row r="26">
      <c r="A26" s="2" t="n">
        <v>46207.5665162037</v>
      </c>
      <c r="B26" s="3" t="inlineStr">
        <is>
          <t>Thomas Rehman</t>
        </is>
      </c>
      <c r="C26" s="3" t="inlineStr">
        <is>
          <t>+971 56 000 0025</t>
        </is>
      </c>
      <c r="D26" s="3" t="inlineStr">
        <is>
          <t>thomas.rehman25@example.com</t>
        </is>
      </c>
      <c r="E26" s="3" t="inlineStr">
        <is>
          <t>Sharjah</t>
        </is>
      </c>
      <c r="F26" s="3" t="inlineStr">
        <is>
          <t>tire_service</t>
        </is>
      </c>
      <c r="G26" s="3" t="inlineStr">
        <is>
          <t>en</t>
        </is>
      </c>
      <c r="H26" s="3" t="inlineStr">
        <is>
          <t>link</t>
        </is>
      </c>
      <c r="I26" s="4" t="n">
        <v>2</v>
      </c>
      <c r="J26" s="4" t="n">
        <v>2</v>
      </c>
      <c r="K26" s="3" t="inlineStr">
        <is>
          <t>partially</t>
        </is>
      </c>
      <c r="L26" s="4" t="n">
        <v>6</v>
      </c>
      <c r="M26" s="5" t="inlineStr">
        <is>
          <t>Told me the job was done, but the noise I brought it in for is unchanged.</t>
        </is>
      </c>
      <c r="N26" s="4" t="n">
        <v>3</v>
      </c>
      <c r="O26" s="4" t="n">
        <v>3</v>
      </c>
      <c r="P26" s="4" t="n">
        <v>4</v>
      </c>
      <c r="Q26" s="4" t="n">
        <v>2</v>
      </c>
      <c r="R26" s="4" t="n">
        <v>3</v>
      </c>
      <c r="S26" s="4" t="n">
        <v>4</v>
      </c>
      <c r="T26" s="6">
        <f>ROUND(AVERAGE(I26:J26),2)</f>
        <v/>
      </c>
      <c r="U26" s="6">
        <f>ROUND(AVERAGE(N26:S26),2)</f>
        <v/>
      </c>
      <c r="V26" s="7">
        <f>IF(L26&gt;=9,"promoter",IF(L26&gt;=7,"passive","detractor"))</f>
        <v/>
      </c>
      <c r="W26" s="8">
        <f>IF(OR(V26="detractor",K26&lt;&gt;"yes"),1,0)</f>
        <v/>
      </c>
      <c r="X26" s="2" t="n">
        <v>46208.64984953704</v>
      </c>
      <c r="Y26" s="5" t="inlineStr">
        <is>
          <t>Customer confirmed the repeat fault was fixed on the return visit and is satisfied now.</t>
        </is>
      </c>
    </row>
    <row r="27">
      <c r="A27" s="2" t="n">
        <v>46207.65239583333</v>
      </c>
      <c r="B27" s="3" t="inlineStr">
        <is>
          <t>Usman Al Nuaimi</t>
        </is>
      </c>
      <c r="C27" s="3" t="inlineStr">
        <is>
          <t>+971 50 000 0026</t>
        </is>
      </c>
      <c r="D27" s="3" t="inlineStr">
        <is>
          <t>usman.al.nuaimi26@example.com</t>
        </is>
      </c>
      <c r="E27" s="3" t="inlineStr">
        <is>
          <t>Al Ain</t>
        </is>
      </c>
      <c r="F27" s="3" t="inlineStr">
        <is>
          <t>transmission</t>
        </is>
      </c>
      <c r="G27" s="3" t="inlineStr">
        <is>
          <t>en</t>
        </is>
      </c>
      <c r="H27" s="3" t="inlineStr">
        <is>
          <t>link</t>
        </is>
      </c>
      <c r="I27" s="4" t="n">
        <v>5</v>
      </c>
      <c r="J27" s="4" t="n">
        <v>5</v>
      </c>
      <c r="K27" s="3" t="inlineStr">
        <is>
          <t>yes</t>
        </is>
      </c>
      <c r="L27" s="4" t="n">
        <v>10</v>
      </c>
      <c r="M27" s="5" t="inlineStr">
        <is>
          <t>Staff are polite and the workmanship on the gearbox work is solid. No issues since.</t>
        </is>
      </c>
      <c r="N27" s="4" t="n">
        <v>5</v>
      </c>
      <c r="O27" s="4" t="n">
        <v>4</v>
      </c>
      <c r="P27" s="4" t="n">
        <v>4</v>
      </c>
      <c r="Q27" s="4" t="n">
        <v>5</v>
      </c>
      <c r="R27" s="4" t="n">
        <v>5</v>
      </c>
      <c r="S27" s="4" t="n">
        <v>5</v>
      </c>
      <c r="T27" s="6">
        <f>ROUND(AVERAGE(I27:J27),2)</f>
        <v/>
      </c>
      <c r="U27" s="6">
        <f>ROUND(AVERAGE(N27:S27),2)</f>
        <v/>
      </c>
      <c r="V27" s="7">
        <f>IF(L27&gt;=9,"promoter",IF(L27&gt;=7,"passive","detractor"))</f>
        <v/>
      </c>
      <c r="W27" s="8">
        <f>IF(OR(V27="detractor",K27&lt;&gt;"yes"),1,0)</f>
        <v/>
      </c>
      <c r="X27" s="3" t="inlineStr"/>
      <c r="Y27" s="5" t="inlineStr"/>
    </row>
    <row r="28">
      <c r="A28" s="2" t="n">
        <v>46207.67962962963</v>
      </c>
      <c r="B28" s="3" t="inlineStr">
        <is>
          <t>David Iqbal</t>
        </is>
      </c>
      <c r="C28" s="3" t="inlineStr">
        <is>
          <t>+971 50 000 0027</t>
        </is>
      </c>
      <c r="D28" s="3" t="inlineStr">
        <is>
          <t>david.iqbal27@example.com</t>
        </is>
      </c>
      <c r="E28" s="3" t="inlineStr">
        <is>
          <t>Abu Dhabi</t>
        </is>
      </c>
      <c r="F28" s="3" t="inlineStr">
        <is>
          <t>diagnostic</t>
        </is>
      </c>
      <c r="G28" s="3" t="inlineStr">
        <is>
          <t>en</t>
        </is>
      </c>
      <c r="H28" s="3" t="inlineStr">
        <is>
          <t>link</t>
        </is>
      </c>
      <c r="I28" s="4" t="n">
        <v>4</v>
      </c>
      <c r="J28" s="4" t="n">
        <v>4</v>
      </c>
      <c r="K28" s="3" t="inlineStr">
        <is>
          <t>yes</t>
        </is>
      </c>
      <c r="L28" s="4" t="n">
        <v>8</v>
      </c>
      <c r="M28" s="5" t="inlineStr">
        <is>
          <t>Good technical work. The paperwork at collection took much longer than it needed to.</t>
        </is>
      </c>
      <c r="N28" s="4" t="n">
        <v>4</v>
      </c>
      <c r="O28" s="4" t="n">
        <v>3</v>
      </c>
      <c r="P28" s="4" t="n">
        <v>4</v>
      </c>
      <c r="Q28" s="4" t="n">
        <v>4</v>
      </c>
      <c r="R28" s="4" t="n">
        <v>4</v>
      </c>
      <c r="S28" s="4" t="n">
        <v>4</v>
      </c>
      <c r="T28" s="6">
        <f>ROUND(AVERAGE(I28:J28),2)</f>
        <v/>
      </c>
      <c r="U28" s="6">
        <f>ROUND(AVERAGE(N28:S28),2)</f>
        <v/>
      </c>
      <c r="V28" s="7">
        <f>IF(L28&gt;=9,"promoter",IF(L28&gt;=7,"passive","detractor"))</f>
        <v/>
      </c>
      <c r="W28" s="8">
        <f>IF(OR(V28="detractor",K28&lt;&gt;"yes"),1,0)</f>
        <v/>
      </c>
      <c r="X28" s="3" t="inlineStr"/>
      <c r="Y28" s="5" t="inlineStr"/>
    </row>
    <row r="29">
      <c r="A29" s="2" t="n">
        <v>46207.69021990741</v>
      </c>
      <c r="B29" s="3" t="inlineStr">
        <is>
          <t>Naeem Malik</t>
        </is>
      </c>
      <c r="C29" s="3" t="inlineStr">
        <is>
          <t>+971 58 000 0028</t>
        </is>
      </c>
      <c r="D29" s="3" t="inlineStr">
        <is>
          <t>naeem.malik28@example.com</t>
        </is>
      </c>
      <c r="E29" s="3" t="inlineStr">
        <is>
          <t>Abu Dhabi</t>
        </is>
      </c>
      <c r="F29" s="3" t="inlineStr">
        <is>
          <t>general_maintenance</t>
        </is>
      </c>
      <c r="G29" s="3" t="inlineStr">
        <is>
          <t>en</t>
        </is>
      </c>
      <c r="H29" s="3" t="inlineStr">
        <is>
          <t>link</t>
        </is>
      </c>
      <c r="I29" s="4" t="n">
        <v>4</v>
      </c>
      <c r="J29" s="4" t="n">
        <v>3</v>
      </c>
      <c r="K29" s="3" t="inlineStr">
        <is>
          <t>partially</t>
        </is>
      </c>
      <c r="L29" s="4" t="n">
        <v>7</v>
      </c>
      <c r="M29" s="5" t="inlineStr">
        <is>
          <t>They fixed it, but the first estimate and the second estimate were quite different.</t>
        </is>
      </c>
      <c r="N29" s="4" t="n">
        <v>4</v>
      </c>
      <c r="O29" s="4" t="n">
        <v>4</v>
      </c>
      <c r="P29" s="4" t="n">
        <v>4</v>
      </c>
      <c r="Q29" s="4" t="n">
        <v>4</v>
      </c>
      <c r="R29" s="4" t="n">
        <v>2</v>
      </c>
      <c r="S29" s="4" t="n">
        <v>3</v>
      </c>
      <c r="T29" s="6">
        <f>ROUND(AVERAGE(I29:J29),2)</f>
        <v/>
      </c>
      <c r="U29" s="6">
        <f>ROUND(AVERAGE(N29:S29),2)</f>
        <v/>
      </c>
      <c r="V29" s="7">
        <f>IF(L29&gt;=9,"promoter",IF(L29&gt;=7,"passive","detractor"))</f>
        <v/>
      </c>
      <c r="W29" s="8">
        <f>IF(OR(V29="detractor",K29&lt;&gt;"yes"),1,0)</f>
        <v/>
      </c>
      <c r="X29" s="2" t="n">
        <v>46207.81521990741</v>
      </c>
      <c r="Y29" s="5" t="inlineStr">
        <is>
          <t>Reached the customer on the second attempt. Car brought back in and the fault rectified under warranty.</t>
        </is>
      </c>
    </row>
    <row r="30">
      <c r="A30" s="2" t="n">
        <v>46207.70528935185</v>
      </c>
      <c r="B30" s="3" t="inlineStr">
        <is>
          <t>Mohammed Pillai</t>
        </is>
      </c>
      <c r="C30" s="3" t="inlineStr">
        <is>
          <t>+971 58 000 0029</t>
        </is>
      </c>
      <c r="D30" s="3" t="inlineStr">
        <is>
          <t>mohammed.pillai29@example.com</t>
        </is>
      </c>
      <c r="E30" s="3" t="inlineStr">
        <is>
          <t>Al Ain</t>
        </is>
      </c>
      <c r="F30" s="3" t="inlineStr">
        <is>
          <t>brake_repair</t>
        </is>
      </c>
      <c r="G30" s="3" t="inlineStr">
        <is>
          <t>en</t>
        </is>
      </c>
      <c r="H30" s="3" t="inlineStr">
        <is>
          <t>link</t>
        </is>
      </c>
      <c r="I30" s="4" t="n">
        <v>4</v>
      </c>
      <c r="J30" s="4" t="n">
        <v>4</v>
      </c>
      <c r="K30" s="3" t="inlineStr">
        <is>
          <t>yes</t>
        </is>
      </c>
      <c r="L30" s="4" t="n">
        <v>10</v>
      </c>
      <c r="M30" s="5" t="inlineStr">
        <is>
          <t>They fitted me in the same day for an emergency and still finished the brake job on time.</t>
        </is>
      </c>
      <c r="N30" s="4" t="n">
        <v>4</v>
      </c>
      <c r="O30" s="4" t="n">
        <v>4</v>
      </c>
      <c r="P30" s="4" t="n">
        <v>4</v>
      </c>
      <c r="Q30" s="4" t="n">
        <v>4</v>
      </c>
      <c r="R30" s="4" t="n">
        <v>4</v>
      </c>
      <c r="S30" s="4" t="n">
        <v>4</v>
      </c>
      <c r="T30" s="6">
        <f>ROUND(AVERAGE(I30:J30),2)</f>
        <v/>
      </c>
      <c r="U30" s="6">
        <f>ROUND(AVERAGE(N30:S30),2)</f>
        <v/>
      </c>
      <c r="V30" s="7">
        <f>IF(L30&gt;=9,"promoter",IF(L30&gt;=7,"passive","detractor"))</f>
        <v/>
      </c>
      <c r="W30" s="8">
        <f>IF(OR(V30="detractor",K30&lt;&gt;"yes"),1,0)</f>
        <v/>
      </c>
      <c r="X30" s="3" t="inlineStr"/>
      <c r="Y30" s="5" t="inlineStr"/>
    </row>
    <row r="31">
      <c r="A31" s="2" t="n">
        <v>46208.41927083334</v>
      </c>
      <c r="B31" s="3" t="inlineStr">
        <is>
          <t>Ibrahim Butt</t>
        </is>
      </c>
      <c r="C31" s="3" t="inlineStr">
        <is>
          <t>+971 50 000 0030</t>
        </is>
      </c>
      <c r="D31" s="3" t="inlineStr">
        <is>
          <t>ibrahim.butt30@example.com</t>
        </is>
      </c>
      <c r="E31" s="3" t="inlineStr">
        <is>
          <t>Sharjah</t>
        </is>
      </c>
      <c r="F31" s="3" t="inlineStr">
        <is>
          <t>oil_change</t>
        </is>
      </c>
      <c r="G31" s="3" t="inlineStr">
        <is>
          <t>en</t>
        </is>
      </c>
      <c r="H31" s="3" t="inlineStr">
        <is>
          <t>link</t>
        </is>
      </c>
      <c r="I31" s="4" t="n">
        <v>5</v>
      </c>
      <c r="J31" s="4" t="n">
        <v>5</v>
      </c>
      <c r="K31" s="3" t="inlineStr">
        <is>
          <t>yes</t>
        </is>
      </c>
      <c r="L31" s="4" t="n">
        <v>10</v>
      </c>
      <c r="M31" s="5" t="inlineStr">
        <is>
          <t>WhatsApp updates through the day meant I never had to call and ask.</t>
        </is>
      </c>
      <c r="N31" s="4" t="n">
        <v>5</v>
      </c>
      <c r="O31" s="4" t="n">
        <v>5</v>
      </c>
      <c r="P31" s="4" t="n">
        <v>5</v>
      </c>
      <c r="Q31" s="4" t="n">
        <v>5</v>
      </c>
      <c r="R31" s="4" t="n">
        <v>4</v>
      </c>
      <c r="S31" s="4" t="n">
        <v>5</v>
      </c>
      <c r="T31" s="6">
        <f>ROUND(AVERAGE(I31:J31),2)</f>
        <v/>
      </c>
      <c r="U31" s="6">
        <f>ROUND(AVERAGE(N31:S31),2)</f>
        <v/>
      </c>
      <c r="V31" s="7">
        <f>IF(L31&gt;=9,"promoter",IF(L31&gt;=7,"passive","detractor"))</f>
        <v/>
      </c>
      <c r="W31" s="8">
        <f>IF(OR(V31="detractor",K31&lt;&gt;"yes"),1,0)</f>
        <v/>
      </c>
      <c r="X31" s="3" t="inlineStr"/>
      <c r="Y31" s="5" t="inlineStr"/>
    </row>
    <row r="32">
      <c r="A32" s="2" t="n">
        <v>46208.42041666667</v>
      </c>
      <c r="B32" s="3" t="inlineStr">
        <is>
          <t>Deepak Malik</t>
        </is>
      </c>
      <c r="C32" s="3" t="inlineStr">
        <is>
          <t>+971 58 000 0031</t>
        </is>
      </c>
      <c r="D32" s="3" t="inlineStr">
        <is>
          <t>deepak.malik31@example.com</t>
        </is>
      </c>
      <c r="E32" s="3" t="inlineStr">
        <is>
          <t>Al Ain</t>
        </is>
      </c>
      <c r="F32" s="3" t="inlineStr">
        <is>
          <t>oil_change</t>
        </is>
      </c>
      <c r="G32" s="3" t="inlineStr">
        <is>
          <t>en</t>
        </is>
      </c>
      <c r="H32" s="3" t="inlineStr">
        <is>
          <t>link</t>
        </is>
      </c>
      <c r="I32" s="4" t="n">
        <v>3</v>
      </c>
      <c r="J32" s="4" t="n">
        <v>4</v>
      </c>
      <c r="K32" s="3" t="inlineStr">
        <is>
          <t>yes</t>
        </is>
      </c>
      <c r="L32" s="4" t="n">
        <v>7</v>
      </c>
      <c r="M32" s="5" t="inlineStr">
        <is>
          <t>The car is running well. The advisor was hard to reach on the phone during the day.</t>
        </is>
      </c>
      <c r="N32" s="4" t="n">
        <v>5</v>
      </c>
      <c r="O32" s="4" t="n">
        <v>4</v>
      </c>
      <c r="P32" s="4" t="n">
        <v>5</v>
      </c>
      <c r="Q32" s="4" t="n">
        <v>4</v>
      </c>
      <c r="R32" s="4" t="n">
        <v>4</v>
      </c>
      <c r="S32" s="4" t="n">
        <v>3</v>
      </c>
      <c r="T32" s="6">
        <f>ROUND(AVERAGE(I32:J32),2)</f>
        <v/>
      </c>
      <c r="U32" s="6">
        <f>ROUND(AVERAGE(N32:S32),2)</f>
        <v/>
      </c>
      <c r="V32" s="7">
        <f>IF(L32&gt;=9,"promoter",IF(L32&gt;=7,"passive","detractor"))</f>
        <v/>
      </c>
      <c r="W32" s="8">
        <f>IF(OR(V32="detractor",K32&lt;&gt;"yes"),1,0)</f>
        <v/>
      </c>
      <c r="X32" s="3" t="inlineStr"/>
      <c r="Y32" s="5" t="inlineStr"/>
    </row>
    <row r="33">
      <c r="A33" s="2" t="n">
        <v>46208.52722222222</v>
      </c>
      <c r="B33" s="3" t="inlineStr">
        <is>
          <t>Layla Joseph</t>
        </is>
      </c>
      <c r="C33" s="3" t="inlineStr">
        <is>
          <t>+971 54 000 0032</t>
        </is>
      </c>
      <c r="D33" s="3" t="inlineStr">
        <is>
          <t>layla.joseph32@example.com</t>
        </is>
      </c>
      <c r="E33" s="3" t="inlineStr">
        <is>
          <t>Abu Dhabi</t>
        </is>
      </c>
      <c r="F33" s="3" t="inlineStr">
        <is>
          <t>electrical</t>
        </is>
      </c>
      <c r="G33" s="3" t="inlineStr">
        <is>
          <t>en</t>
        </is>
      </c>
      <c r="H33" s="3" t="inlineStr">
        <is>
          <t>portal</t>
        </is>
      </c>
      <c r="I33" s="4" t="n">
        <v>4</v>
      </c>
      <c r="J33" s="4" t="n">
        <v>4</v>
      </c>
      <c r="K33" s="3" t="inlineStr">
        <is>
          <t>partially</t>
        </is>
      </c>
      <c r="L33" s="4" t="n">
        <v>8</v>
      </c>
      <c r="M33" s="5" t="inlineStr">
        <is>
          <t>The repair is good. I only wish they had cleaned the interior after the electrical fault.</t>
        </is>
      </c>
      <c r="N33" s="4" t="n">
        <v>3</v>
      </c>
      <c r="O33" s="4" t="n">
        <v>4</v>
      </c>
      <c r="P33" s="4" t="n">
        <v>5</v>
      </c>
      <c r="Q33" s="4" t="n">
        <v>5</v>
      </c>
      <c r="R33" s="4" t="n">
        <v>3</v>
      </c>
      <c r="S33" s="4" t="n">
        <v>4</v>
      </c>
      <c r="T33" s="6">
        <f>ROUND(AVERAGE(I33:J33),2)</f>
        <v/>
      </c>
      <c r="U33" s="6">
        <f>ROUND(AVERAGE(N33:S33),2)</f>
        <v/>
      </c>
      <c r="V33" s="7">
        <f>IF(L33&gt;=9,"promoter",IF(L33&gt;=7,"passive","detractor"))</f>
        <v/>
      </c>
      <c r="W33" s="8">
        <f>IF(OR(V33="detractor",K33&lt;&gt;"yes"),1,0)</f>
        <v/>
      </c>
      <c r="X33" s="2" t="n">
        <v>46211.36055555556</v>
      </c>
      <c r="Y33" s="5" t="inlineStr">
        <is>
          <t>Customer confirmed the repeat fault was fixed on the return visit and is satisfied now.</t>
        </is>
      </c>
    </row>
    <row r="34">
      <c r="A34" s="2" t="n">
        <v>46208.60090277778</v>
      </c>
      <c r="B34" s="3" t="inlineStr">
        <is>
          <t>Khalid Mendoza</t>
        </is>
      </c>
      <c r="C34" s="3" t="inlineStr">
        <is>
          <t>+971 54 000 0033</t>
        </is>
      </c>
      <c r="D34" s="3" t="inlineStr">
        <is>
          <t>khalid.mendoza33@example.com</t>
        </is>
      </c>
      <c r="E34" s="3" t="inlineStr">
        <is>
          <t>Sharjah</t>
        </is>
      </c>
      <c r="F34" s="3" t="inlineStr">
        <is>
          <t>brake_repair</t>
        </is>
      </c>
      <c r="G34" s="3" t="inlineStr">
        <is>
          <t>en</t>
        </is>
      </c>
      <c r="H34" s="3" t="inlineStr">
        <is>
          <t>portal</t>
        </is>
      </c>
      <c r="I34" s="4" t="n">
        <v>5</v>
      </c>
      <c r="J34" s="4" t="n">
        <v>5</v>
      </c>
      <c r="K34" s="3" t="inlineStr">
        <is>
          <t>yes</t>
        </is>
      </c>
      <c r="L34" s="4" t="n">
        <v>10</v>
      </c>
      <c r="M34" s="5" t="inlineStr">
        <is>
          <t>The advisor remembered my car's history and flagged something due next service. Genuinely helpful.</t>
        </is>
      </c>
      <c r="N34" s="4" t="n">
        <v>5</v>
      </c>
      <c r="O34" s="4" t="n">
        <v>5</v>
      </c>
      <c r="P34" s="4" t="n">
        <v>5</v>
      </c>
      <c r="Q34" s="4" t="n">
        <v>5</v>
      </c>
      <c r="R34" s="4" t="n">
        <v>5</v>
      </c>
      <c r="S34" s="4" t="n">
        <v>5</v>
      </c>
      <c r="T34" s="6">
        <f>ROUND(AVERAGE(I34:J34),2)</f>
        <v/>
      </c>
      <c r="U34" s="6">
        <f>ROUND(AVERAGE(N34:S34),2)</f>
        <v/>
      </c>
      <c r="V34" s="7">
        <f>IF(L34&gt;=9,"promoter",IF(L34&gt;=7,"passive","detractor"))</f>
        <v/>
      </c>
      <c r="W34" s="8">
        <f>IF(OR(V34="detractor",K34&lt;&gt;"yes"),1,0)</f>
        <v/>
      </c>
      <c r="X34" s="3" t="inlineStr"/>
      <c r="Y34" s="5" t="inlineStr"/>
    </row>
    <row r="35">
      <c r="A35" s="2" t="n">
        <v>46208.68724537037</v>
      </c>
      <c r="B35" s="3" t="inlineStr">
        <is>
          <t>Bilal Malik</t>
        </is>
      </c>
      <c r="C35" s="3" t="inlineStr">
        <is>
          <t>+971 56 000 0034</t>
        </is>
      </c>
      <c r="D35" s="3" t="inlineStr">
        <is>
          <t>bilal.malik34@example.com</t>
        </is>
      </c>
      <c r="E35" s="3" t="inlineStr">
        <is>
          <t>Abu Dhabi</t>
        </is>
      </c>
      <c r="F35" s="3" t="inlineStr">
        <is>
          <t>brake_repair</t>
        </is>
      </c>
      <c r="G35" s="3" t="inlineStr">
        <is>
          <t>en</t>
        </is>
      </c>
      <c r="H35" s="3" t="inlineStr">
        <is>
          <t>link</t>
        </is>
      </c>
      <c r="I35" s="4" t="n">
        <v>5</v>
      </c>
      <c r="J35" s="4" t="n">
        <v>4</v>
      </c>
      <c r="K35" s="3" t="inlineStr">
        <is>
          <t>yes</t>
        </is>
      </c>
      <c r="L35" s="4" t="n">
        <v>9</v>
      </c>
      <c r="M35" s="5" t="inlineStr">
        <is>
          <t>Honest team — they told me one part I expected to replace was still fine.</t>
        </is>
      </c>
      <c r="N35" s="4" t="n">
        <v>5</v>
      </c>
      <c r="O35" s="4" t="n">
        <v>4</v>
      </c>
      <c r="P35" s="4" t="n">
        <v>4</v>
      </c>
      <c r="Q35" s="4" t="n">
        <v>5</v>
      </c>
      <c r="R35" s="4" t="n">
        <v>5</v>
      </c>
      <c r="S35" s="4" t="n">
        <v>5</v>
      </c>
      <c r="T35" s="6">
        <f>ROUND(AVERAGE(I35:J35),2)</f>
        <v/>
      </c>
      <c r="U35" s="6">
        <f>ROUND(AVERAGE(N35:S35),2)</f>
        <v/>
      </c>
      <c r="V35" s="7">
        <f>IF(L35&gt;=9,"promoter",IF(L35&gt;=7,"passive","detractor"))</f>
        <v/>
      </c>
      <c r="W35" s="8">
        <f>IF(OR(V35="detractor",K35&lt;&gt;"yes"),1,0)</f>
        <v/>
      </c>
      <c r="X35" s="3" t="inlineStr"/>
      <c r="Y35" s="5" t="inlineStr"/>
    </row>
    <row r="36">
      <c r="A36" s="2" t="n">
        <v>46208.86576388889</v>
      </c>
      <c r="B36" s="3" t="inlineStr">
        <is>
          <t>Arun Al Kaabi</t>
        </is>
      </c>
      <c r="C36" s="3" t="inlineStr">
        <is>
          <t>+971 50 000 0035</t>
        </is>
      </c>
      <c r="D36" s="3" t="inlineStr">
        <is>
          <t>arun.al.kaabi35@example.com</t>
        </is>
      </c>
      <c r="E36" s="3" t="inlineStr">
        <is>
          <t>Dubai</t>
        </is>
      </c>
      <c r="F36" s="3" t="inlineStr">
        <is>
          <t>diagnostic</t>
        </is>
      </c>
      <c r="G36" s="3" t="inlineStr">
        <is>
          <t>en</t>
        </is>
      </c>
      <c r="H36" s="3" t="inlineStr">
        <is>
          <t>link</t>
        </is>
      </c>
      <c r="I36" s="4" t="n">
        <v>5</v>
      </c>
      <c r="J36" s="4" t="n">
        <v>4</v>
      </c>
      <c r="K36" s="3" t="inlineStr">
        <is>
          <t>yes</t>
        </is>
      </c>
      <c r="L36" s="4" t="n">
        <v>10</v>
      </c>
      <c r="M36" s="5" t="inlineStr">
        <is>
          <t>Booked in the morning and picked the car up the same evening — the diagnostic check was done properly and the price matched the quote.</t>
        </is>
      </c>
      <c r="N36" s="4" t="n">
        <v>5</v>
      </c>
      <c r="O36" s="4" t="n">
        <v>5</v>
      </c>
      <c r="P36" s="4" t="n">
        <v>5</v>
      </c>
      <c r="Q36" s="4" t="n">
        <v>5</v>
      </c>
      <c r="R36" s="4" t="n">
        <v>5</v>
      </c>
      <c r="S36" s="4" t="n">
        <v>5</v>
      </c>
      <c r="T36" s="6">
        <f>ROUND(AVERAGE(I36:J36),2)</f>
        <v/>
      </c>
      <c r="U36" s="6">
        <f>ROUND(AVERAGE(N36:S36),2)</f>
        <v/>
      </c>
      <c r="V36" s="7">
        <f>IF(L36&gt;=9,"promoter",IF(L36&gt;=7,"passive","detractor"))</f>
        <v/>
      </c>
      <c r="W36" s="8">
        <f>IF(OR(V36="detractor",K36&lt;&gt;"yes"),1,0)</f>
        <v/>
      </c>
      <c r="X36" s="3" t="inlineStr"/>
      <c r="Y36" s="5" t="inlineStr"/>
    </row>
    <row r="37">
      <c r="A37" s="2" t="n">
        <v>46209.39145833333</v>
      </c>
      <c r="B37" s="3" t="inlineStr">
        <is>
          <t>George Butt</t>
        </is>
      </c>
      <c r="C37" s="3" t="inlineStr">
        <is>
          <t>+971 50 000 0036</t>
        </is>
      </c>
      <c r="D37" s="3" t="inlineStr">
        <is>
          <t>george.butt36@example.com</t>
        </is>
      </c>
      <c r="E37" s="3" t="inlineStr">
        <is>
          <t>Abu Dhabi</t>
        </is>
      </c>
      <c r="F37" s="3" t="inlineStr">
        <is>
          <t>bodywork</t>
        </is>
      </c>
      <c r="G37" s="3" t="inlineStr">
        <is>
          <t>en</t>
        </is>
      </c>
      <c r="H37" s="3" t="inlineStr">
        <is>
          <t>link</t>
        </is>
      </c>
      <c r="I37" s="4" t="n">
        <v>4</v>
      </c>
      <c r="J37" s="4" t="n">
        <v>4</v>
      </c>
      <c r="K37" s="3" t="inlineStr">
        <is>
          <t>yes</t>
        </is>
      </c>
      <c r="L37" s="4" t="n">
        <v>7</v>
      </c>
      <c r="M37" s="5" t="inlineStr">
        <is>
          <t>Quality is there. The appointment I booked still meant a 40-minute wait.</t>
        </is>
      </c>
      <c r="N37" s="4" t="n">
        <v>3</v>
      </c>
      <c r="O37" s="4" t="n">
        <v>4</v>
      </c>
      <c r="P37" s="4" t="n">
        <v>3</v>
      </c>
      <c r="Q37" s="4" t="n">
        <v>3</v>
      </c>
      <c r="R37" s="4" t="n">
        <v>2</v>
      </c>
      <c r="S37" s="4" t="n">
        <v>2</v>
      </c>
      <c r="T37" s="6">
        <f>ROUND(AVERAGE(I37:J37),2)</f>
        <v/>
      </c>
      <c r="U37" s="6">
        <f>ROUND(AVERAGE(N37:S37),2)</f>
        <v/>
      </c>
      <c r="V37" s="7">
        <f>IF(L37&gt;=9,"promoter",IF(L37&gt;=7,"passive","detractor"))</f>
        <v/>
      </c>
      <c r="W37" s="8">
        <f>IF(OR(V37="detractor",K37&lt;&gt;"yes"),1,0)</f>
        <v/>
      </c>
      <c r="X37" s="3" t="inlineStr"/>
      <c r="Y37" s="5" t="inlineStr"/>
    </row>
    <row r="38">
      <c r="A38" s="2" t="n">
        <v>46209.49148148148</v>
      </c>
      <c r="B38" s="3" t="inlineStr">
        <is>
          <t>Naeem Al Hammadi</t>
        </is>
      </c>
      <c r="C38" s="3" t="inlineStr">
        <is>
          <t>+971 56 000 0037</t>
        </is>
      </c>
      <c r="D38" s="3" t="inlineStr">
        <is>
          <t>naeem.al.hammadi37@example.com</t>
        </is>
      </c>
      <c r="E38" s="3" t="inlineStr">
        <is>
          <t>Sharjah</t>
        </is>
      </c>
      <c r="F38" s="3" t="inlineStr">
        <is>
          <t>bodywork</t>
        </is>
      </c>
      <c r="G38" s="3" t="inlineStr">
        <is>
          <t>en</t>
        </is>
      </c>
      <c r="H38" s="3" t="inlineStr">
        <is>
          <t>portal</t>
        </is>
      </c>
      <c r="I38" s="4" t="n">
        <v>5</v>
      </c>
      <c r="J38" s="4" t="n">
        <v>4</v>
      </c>
      <c r="K38" s="3" t="inlineStr">
        <is>
          <t>yes</t>
        </is>
      </c>
      <c r="L38" s="4" t="n">
        <v>10</v>
      </c>
      <c r="M38" s="5" t="inlineStr">
        <is>
          <t>Fair pricing compared to the agency, and the quality of the body repair was just as good.</t>
        </is>
      </c>
      <c r="N38" s="4" t="n">
        <v>4</v>
      </c>
      <c r="O38" s="4" t="n">
        <v>4</v>
      </c>
      <c r="P38" s="4" t="n">
        <v>5</v>
      </c>
      <c r="Q38" s="4" t="n">
        <v>5</v>
      </c>
      <c r="R38" s="4" t="n">
        <v>5</v>
      </c>
      <c r="S38" s="4" t="n">
        <v>5</v>
      </c>
      <c r="T38" s="6">
        <f>ROUND(AVERAGE(I38:J38),2)</f>
        <v/>
      </c>
      <c r="U38" s="6">
        <f>ROUND(AVERAGE(N38:S38),2)</f>
        <v/>
      </c>
      <c r="V38" s="7">
        <f>IF(L38&gt;=9,"promoter",IF(L38&gt;=7,"passive","detractor"))</f>
        <v/>
      </c>
      <c r="W38" s="8">
        <f>IF(OR(V38="detractor",K38&lt;&gt;"yes"),1,0)</f>
        <v/>
      </c>
      <c r="X38" s="3" t="inlineStr"/>
      <c r="Y38" s="5" t="inlineStr"/>
    </row>
    <row r="39">
      <c r="A39" s="2" t="n">
        <v>46209.51829861111</v>
      </c>
      <c r="B39" s="3" t="inlineStr">
        <is>
          <t>Manoj Al Yammahi</t>
        </is>
      </c>
      <c r="C39" s="3" t="inlineStr">
        <is>
          <t>+971 50 000 0038</t>
        </is>
      </c>
      <c r="D39" s="3" t="inlineStr">
        <is>
          <t>manoj.al.yammahi38@example.com</t>
        </is>
      </c>
      <c r="E39" s="3" t="inlineStr">
        <is>
          <t>Abu Dhabi</t>
        </is>
      </c>
      <c r="F39" s="3" t="inlineStr">
        <is>
          <t>tire_service</t>
        </is>
      </c>
      <c r="G39" s="3" t="inlineStr">
        <is>
          <t>en</t>
        </is>
      </c>
      <c r="H39" s="3" t="inlineStr">
        <is>
          <t>link</t>
        </is>
      </c>
      <c r="I39" s="4" t="n">
        <v>4</v>
      </c>
      <c r="J39" s="4" t="n">
        <v>4</v>
      </c>
      <c r="K39" s="3" t="inlineStr">
        <is>
          <t>yes</t>
        </is>
      </c>
      <c r="L39" s="4" t="n">
        <v>7</v>
      </c>
      <c r="M39" s="5" t="inlineStr">
        <is>
          <t>Overall okay. Slightly expensive for what was done, but the work looks sound.</t>
        </is>
      </c>
      <c r="N39" s="4" t="n">
        <v>4</v>
      </c>
      <c r="O39" s="4" t="n">
        <v>4</v>
      </c>
      <c r="P39" s="4" t="n">
        <v>4</v>
      </c>
      <c r="Q39" s="4" t="n">
        <v>4</v>
      </c>
      <c r="R39" s="4" t="n">
        <v>4</v>
      </c>
      <c r="S39" s="4" t="n">
        <v>3</v>
      </c>
      <c r="T39" s="6">
        <f>ROUND(AVERAGE(I39:J39),2)</f>
        <v/>
      </c>
      <c r="U39" s="6">
        <f>ROUND(AVERAGE(N39:S39),2)</f>
        <v/>
      </c>
      <c r="V39" s="7">
        <f>IF(L39&gt;=9,"promoter",IF(L39&gt;=7,"passive","detractor"))</f>
        <v/>
      </c>
      <c r="W39" s="8">
        <f>IF(OR(V39="detractor",K39&lt;&gt;"yes"),1,0)</f>
        <v/>
      </c>
      <c r="X39" s="3" t="inlineStr"/>
      <c r="Y39" s="5" t="inlineStr"/>
    </row>
    <row r="40">
      <c r="A40" s="2" t="n">
        <v>46209.61505787037</v>
      </c>
      <c r="B40" s="3" t="inlineStr">
        <is>
          <t>Paul Al Rashidi</t>
        </is>
      </c>
      <c r="C40" s="3" t="inlineStr">
        <is>
          <t>+971 54 000 0039</t>
        </is>
      </c>
      <c r="D40" s="3" t="inlineStr">
        <is>
          <t>paul.al.rashidi39@example.com</t>
        </is>
      </c>
      <c r="E40" s="3" t="inlineStr">
        <is>
          <t>Abu Dhabi</t>
        </is>
      </c>
      <c r="F40" s="3" t="inlineStr">
        <is>
          <t>tire_service</t>
        </is>
      </c>
      <c r="G40" s="3" t="inlineStr">
        <is>
          <t>en</t>
        </is>
      </c>
      <c r="H40" s="3" t="inlineStr">
        <is>
          <t>link</t>
        </is>
      </c>
      <c r="I40" s="4" t="n">
        <v>5</v>
      </c>
      <c r="J40" s="4" t="n">
        <v>5</v>
      </c>
      <c r="K40" s="3" t="inlineStr">
        <is>
          <t>yes</t>
        </is>
      </c>
      <c r="L40" s="4" t="n">
        <v>10</v>
      </c>
      <c r="M40" s="5" t="inlineStr">
        <is>
          <t>Quick, clean and reasonably priced. the tyre work was exactly what I asked for.</t>
        </is>
      </c>
      <c r="N40" s="4" t="n">
        <v>5</v>
      </c>
      <c r="O40" s="4" t="n">
        <v>4</v>
      </c>
      <c r="P40" s="4" t="n">
        <v>5</v>
      </c>
      <c r="Q40" s="4" t="n">
        <v>5</v>
      </c>
      <c r="R40" s="4" t="n">
        <v>5</v>
      </c>
      <c r="S40" s="4" t="n">
        <v>5</v>
      </c>
      <c r="T40" s="6">
        <f>ROUND(AVERAGE(I40:J40),2)</f>
        <v/>
      </c>
      <c r="U40" s="6">
        <f>ROUND(AVERAGE(N40:S40),2)</f>
        <v/>
      </c>
      <c r="V40" s="7">
        <f>IF(L40&gt;=9,"promoter",IF(L40&gt;=7,"passive","detractor"))</f>
        <v/>
      </c>
      <c r="W40" s="8">
        <f>IF(OR(V40="detractor",K40&lt;&gt;"yes"),1,0)</f>
        <v/>
      </c>
      <c r="X40" s="3" t="inlineStr"/>
      <c r="Y40" s="5" t="inlineStr"/>
    </row>
    <row r="41">
      <c r="A41" s="2" t="n">
        <v>46209.63587962963</v>
      </c>
      <c r="B41" s="3" t="inlineStr">
        <is>
          <t>Anita Santos</t>
        </is>
      </c>
      <c r="C41" s="3" t="inlineStr">
        <is>
          <t>+971 54 000 0040</t>
        </is>
      </c>
      <c r="D41" s="3" t="inlineStr">
        <is>
          <t>anita.santos40@example.com</t>
        </is>
      </c>
      <c r="E41" s="3" t="inlineStr">
        <is>
          <t>Sharjah</t>
        </is>
      </c>
      <c r="F41" s="3" t="inlineStr">
        <is>
          <t>oil_change</t>
        </is>
      </c>
      <c r="G41" s="3" t="inlineStr">
        <is>
          <t>en</t>
        </is>
      </c>
      <c r="H41" s="3" t="inlineStr">
        <is>
          <t>link</t>
        </is>
      </c>
      <c r="I41" s="4" t="n">
        <v>4</v>
      </c>
      <c r="J41" s="4" t="n">
        <v>5</v>
      </c>
      <c r="K41" s="3" t="inlineStr">
        <is>
          <t>yes</t>
        </is>
      </c>
      <c r="L41" s="4" t="n">
        <v>10</v>
      </c>
      <c r="M41" s="5" t="inlineStr">
        <is>
          <t>The technician showed me the problem on the car itself instead of just handing me a bill.</t>
        </is>
      </c>
      <c r="N41" s="4" t="n">
        <v>5</v>
      </c>
      <c r="O41" s="4" t="n">
        <v>5</v>
      </c>
      <c r="P41" s="4" t="n">
        <v>4</v>
      </c>
      <c r="Q41" s="4" t="n">
        <v>5</v>
      </c>
      <c r="R41" s="4" t="n">
        <v>4</v>
      </c>
      <c r="S41" s="4" t="n">
        <v>5</v>
      </c>
      <c r="T41" s="6">
        <f>ROUND(AVERAGE(I41:J41),2)</f>
        <v/>
      </c>
      <c r="U41" s="6">
        <f>ROUND(AVERAGE(N41:S41),2)</f>
        <v/>
      </c>
      <c r="V41" s="7">
        <f>IF(L41&gt;=9,"promoter",IF(L41&gt;=7,"passive","detractor"))</f>
        <v/>
      </c>
      <c r="W41" s="8">
        <f>IF(OR(V41="detractor",K41&lt;&gt;"yes"),1,0)</f>
        <v/>
      </c>
      <c r="X41" s="3" t="inlineStr"/>
      <c r="Y41" s="5" t="inlineStr"/>
    </row>
    <row r="42">
      <c r="A42" s="2" t="n">
        <v>46209.76396990741</v>
      </c>
      <c r="B42" s="3" t="inlineStr">
        <is>
          <t>George Al Falasi</t>
        </is>
      </c>
      <c r="C42" s="3" t="inlineStr">
        <is>
          <t>+971 56 000 0041</t>
        </is>
      </c>
      <c r="D42" s="3" t="inlineStr">
        <is>
          <t>george.al.falasi41@example.com</t>
        </is>
      </c>
      <c r="E42" s="3" t="inlineStr">
        <is>
          <t>Abu Dhabi</t>
        </is>
      </c>
      <c r="F42" s="3" t="inlineStr">
        <is>
          <t>brake_repair</t>
        </is>
      </c>
      <c r="G42" s="3" t="inlineStr">
        <is>
          <t>en</t>
        </is>
      </c>
      <c r="H42" s="3" t="inlineStr">
        <is>
          <t>link</t>
        </is>
      </c>
      <c r="I42" s="4" t="n">
        <v>5</v>
      </c>
      <c r="J42" s="4" t="n">
        <v>4</v>
      </c>
      <c r="K42" s="3" t="inlineStr">
        <is>
          <t>yes</t>
        </is>
      </c>
      <c r="L42" s="4" t="n">
        <v>9</v>
      </c>
      <c r="M42" s="5" t="inlineStr">
        <is>
          <t>Second opinion after another garage overcharged me. Pioneer did the brake job for half and it has been perfect.</t>
        </is>
      </c>
      <c r="N42" s="4" t="n">
        <v>5</v>
      </c>
      <c r="O42" s="4" t="n">
        <v>5</v>
      </c>
      <c r="P42" s="4" t="n">
        <v>4</v>
      </c>
      <c r="Q42" s="4" t="n">
        <v>5</v>
      </c>
      <c r="R42" s="4" t="n">
        <v>5</v>
      </c>
      <c r="S42" s="4" t="n">
        <v>5</v>
      </c>
      <c r="T42" s="6">
        <f>ROUND(AVERAGE(I42:J42),2)</f>
        <v/>
      </c>
      <c r="U42" s="6">
        <f>ROUND(AVERAGE(N42:S42),2)</f>
        <v/>
      </c>
      <c r="V42" s="7">
        <f>IF(L42&gt;=9,"promoter",IF(L42&gt;=7,"passive","detractor"))</f>
        <v/>
      </c>
      <c r="W42" s="8">
        <f>IF(OR(V42="detractor",K42&lt;&gt;"yes"),1,0)</f>
        <v/>
      </c>
      <c r="X42" s="3" t="inlineStr"/>
      <c r="Y42" s="5" t="inlineStr"/>
    </row>
    <row r="43">
      <c r="A43" s="2" t="n">
        <v>46210.48178240741</v>
      </c>
      <c r="B43" s="3" t="inlineStr">
        <is>
          <t>Binu Villanueva</t>
        </is>
      </c>
      <c r="C43" s="3" t="inlineStr">
        <is>
          <t>+971 55 000 0042</t>
        </is>
      </c>
      <c r="D43" s="3" t="inlineStr">
        <is>
          <t>binu.villanueva42@example.com</t>
        </is>
      </c>
      <c r="E43" s="3" t="inlineStr">
        <is>
          <t>Abu Dhabi</t>
        </is>
      </c>
      <c r="F43" s="3" t="inlineStr">
        <is>
          <t>engine_repair</t>
        </is>
      </c>
      <c r="G43" s="3" t="inlineStr">
        <is>
          <t>en</t>
        </is>
      </c>
      <c r="H43" s="3" t="inlineStr">
        <is>
          <t>link</t>
        </is>
      </c>
      <c r="I43" s="4" t="n">
        <v>4</v>
      </c>
      <c r="J43" s="4" t="n">
        <v>4</v>
      </c>
      <c r="K43" s="3" t="inlineStr">
        <is>
          <t>yes</t>
        </is>
      </c>
      <c r="L43" s="4" t="n">
        <v>8</v>
      </c>
      <c r="M43" s="5" t="inlineStr">
        <is>
          <t>the engine repair was handled properly. The follow-up on the second issue I raised never came.</t>
        </is>
      </c>
      <c r="N43" s="4" t="n">
        <v>4</v>
      </c>
      <c r="O43" s="4" t="n">
        <v>5</v>
      </c>
      <c r="P43" s="4" t="n">
        <v>4</v>
      </c>
      <c r="Q43" s="4" t="n">
        <v>5</v>
      </c>
      <c r="R43" s="4" t="n">
        <v>5</v>
      </c>
      <c r="S43" s="4" t="n">
        <v>4</v>
      </c>
      <c r="T43" s="6">
        <f>ROUND(AVERAGE(I43:J43),2)</f>
        <v/>
      </c>
      <c r="U43" s="6">
        <f>ROUND(AVERAGE(N43:S43),2)</f>
        <v/>
      </c>
      <c r="V43" s="7">
        <f>IF(L43&gt;=9,"promoter",IF(L43&gt;=7,"passive","detractor"))</f>
        <v/>
      </c>
      <c r="W43" s="8">
        <f>IF(OR(V43="detractor",K43&lt;&gt;"yes"),1,0)</f>
        <v/>
      </c>
      <c r="X43" s="3" t="inlineStr"/>
      <c r="Y43" s="5" t="inlineStr"/>
    </row>
    <row r="44">
      <c r="A44" s="2" t="n">
        <v>46210.51142361111</v>
      </c>
      <c r="B44" s="3" t="inlineStr">
        <is>
          <t>Vinod Menon</t>
        </is>
      </c>
      <c r="C44" s="3" t="inlineStr">
        <is>
          <t>+971 50 000 0043</t>
        </is>
      </c>
      <c r="D44" s="3" t="inlineStr">
        <is>
          <t>vinod.menon43@example.com</t>
        </is>
      </c>
      <c r="E44" s="3" t="inlineStr">
        <is>
          <t>Sharjah</t>
        </is>
      </c>
      <c r="F44" s="3" t="inlineStr">
        <is>
          <t>general_maintenance</t>
        </is>
      </c>
      <c r="G44" s="3" t="inlineStr">
        <is>
          <t>en</t>
        </is>
      </c>
      <c r="H44" s="3" t="inlineStr">
        <is>
          <t>qr</t>
        </is>
      </c>
      <c r="I44" s="4" t="n">
        <v>4</v>
      </c>
      <c r="J44" s="4" t="n">
        <v>4</v>
      </c>
      <c r="K44" s="3" t="inlineStr">
        <is>
          <t>yes</t>
        </is>
      </c>
      <c r="L44" s="4" t="n">
        <v>7</v>
      </c>
      <c r="M44" s="5" t="inlineStr">
        <is>
          <t>Decent job on the routine service, but nobody called to say the car was ready — I found out when I arrived.</t>
        </is>
      </c>
      <c r="N44" s="4" t="n">
        <v>5</v>
      </c>
      <c r="O44" s="4" t="n">
        <v>4</v>
      </c>
      <c r="P44" s="4" t="n">
        <v>5</v>
      </c>
      <c r="Q44" s="4" t="n">
        <v>4</v>
      </c>
      <c r="R44" s="4" t="n">
        <v>4</v>
      </c>
      <c r="S44" s="4" t="n">
        <v>4</v>
      </c>
      <c r="T44" s="6">
        <f>ROUND(AVERAGE(I44:J44),2)</f>
        <v/>
      </c>
      <c r="U44" s="6">
        <f>ROUND(AVERAGE(N44:S44),2)</f>
        <v/>
      </c>
      <c r="V44" s="7">
        <f>IF(L44&gt;=9,"promoter",IF(L44&gt;=7,"passive","detractor"))</f>
        <v/>
      </c>
      <c r="W44" s="8">
        <f>IF(OR(V44="detractor",K44&lt;&gt;"yes"),1,0)</f>
        <v/>
      </c>
      <c r="X44" s="3" t="inlineStr"/>
      <c r="Y44" s="5" t="inlineStr"/>
    </row>
    <row r="45">
      <c r="A45" s="2" t="n">
        <v>46210.51484953704</v>
      </c>
      <c r="B45" s="3" t="inlineStr">
        <is>
          <t>Naveen Al Marzouqi</t>
        </is>
      </c>
      <c r="C45" s="3" t="inlineStr">
        <is>
          <t>+971 56 000 0044</t>
        </is>
      </c>
      <c r="D45" s="3" t="inlineStr">
        <is>
          <t>naveen.al.marzouqi44@example.com</t>
        </is>
      </c>
      <c r="E45" s="3" t="inlineStr">
        <is>
          <t>Abu Dhabi</t>
        </is>
      </c>
      <c r="F45" s="3" t="inlineStr">
        <is>
          <t>diagnostic</t>
        </is>
      </c>
      <c r="G45" s="3" t="inlineStr">
        <is>
          <t>en</t>
        </is>
      </c>
      <c r="H45" s="3" t="inlineStr">
        <is>
          <t>link</t>
        </is>
      </c>
      <c r="I45" s="4" t="n">
        <v>5</v>
      </c>
      <c r="J45" s="4" t="n">
        <v>5</v>
      </c>
      <c r="K45" s="3" t="inlineStr">
        <is>
          <t>yes</t>
        </is>
      </c>
      <c r="L45" s="4" t="n">
        <v>9</v>
      </c>
      <c r="M45" s="5" t="inlineStr">
        <is>
          <t>Car came back washed and vacuumed. Small thing, but it shows they care.</t>
        </is>
      </c>
      <c r="N45" s="4" t="n">
        <v>5</v>
      </c>
      <c r="O45" s="4" t="n">
        <v>4</v>
      </c>
      <c r="P45" s="4" t="n">
        <v>5</v>
      </c>
      <c r="Q45" s="4" t="n">
        <v>5</v>
      </c>
      <c r="R45" s="4" t="n">
        <v>5</v>
      </c>
      <c r="S45" s="4" t="n">
        <v>5</v>
      </c>
      <c r="T45" s="6">
        <f>ROUND(AVERAGE(I45:J45),2)</f>
        <v/>
      </c>
      <c r="U45" s="6">
        <f>ROUND(AVERAGE(N45:S45),2)</f>
        <v/>
      </c>
      <c r="V45" s="7">
        <f>IF(L45&gt;=9,"promoter",IF(L45&gt;=7,"passive","detractor"))</f>
        <v/>
      </c>
      <c r="W45" s="8">
        <f>IF(OR(V45="detractor",K45&lt;&gt;"yes"),1,0)</f>
        <v/>
      </c>
      <c r="X45" s="3" t="inlineStr"/>
      <c r="Y45" s="5" t="inlineStr"/>
    </row>
    <row r="46">
      <c r="A46" s="2" t="n">
        <v>46210.54993055556</v>
      </c>
      <c r="B46" s="3" t="inlineStr">
        <is>
          <t>Emma Pillai</t>
        </is>
      </c>
      <c r="C46" s="3" t="inlineStr">
        <is>
          <t>+971 54 000 0045</t>
        </is>
      </c>
      <c r="D46" s="3" t="inlineStr">
        <is>
          <t>emma.pillai45@example.com</t>
        </is>
      </c>
      <c r="E46" s="3" t="inlineStr">
        <is>
          <t>Dubai</t>
        </is>
      </c>
      <c r="F46" s="3" t="inlineStr">
        <is>
          <t>brake_repair</t>
        </is>
      </c>
      <c r="G46" s="3" t="inlineStr">
        <is>
          <t>en</t>
        </is>
      </c>
      <c r="H46" s="3" t="inlineStr">
        <is>
          <t>link</t>
        </is>
      </c>
      <c r="I46" s="4" t="n">
        <v>4</v>
      </c>
      <c r="J46" s="4" t="n">
        <v>3</v>
      </c>
      <c r="K46" s="3" t="inlineStr">
        <is>
          <t>yes</t>
        </is>
      </c>
      <c r="L46" s="4" t="n">
        <v>8</v>
      </c>
      <c r="M46" s="5" t="inlineStr">
        <is>
          <t>the brake job was done well but I waited longer than the time I was given at drop-off.</t>
        </is>
      </c>
      <c r="N46" s="4" t="n">
        <v>4</v>
      </c>
      <c r="O46" s="4" t="n">
        <v>4</v>
      </c>
      <c r="P46" s="4" t="n">
        <v>4</v>
      </c>
      <c r="Q46" s="4" t="n">
        <v>4</v>
      </c>
      <c r="R46" s="4" t="n">
        <v>5</v>
      </c>
      <c r="S46" s="4" t="n">
        <v>4</v>
      </c>
      <c r="T46" s="6">
        <f>ROUND(AVERAGE(I46:J46),2)</f>
        <v/>
      </c>
      <c r="U46" s="6">
        <f>ROUND(AVERAGE(N46:S46),2)</f>
        <v/>
      </c>
      <c r="V46" s="7">
        <f>IF(L46&gt;=9,"promoter",IF(L46&gt;=7,"passive","detractor"))</f>
        <v/>
      </c>
      <c r="W46" s="8">
        <f>IF(OR(V46="detractor",K46&lt;&gt;"yes"),1,0)</f>
        <v/>
      </c>
      <c r="X46" s="3" t="inlineStr"/>
      <c r="Y46" s="5" t="inlineStr"/>
    </row>
    <row r="47">
      <c r="A47" s="2" t="n">
        <v>46210.59842592593</v>
      </c>
      <c r="B47" s="3" t="inlineStr">
        <is>
          <t>Sarah Al Kaabi</t>
        </is>
      </c>
      <c r="C47" s="3" t="inlineStr">
        <is>
          <t>+971 54 000 0046</t>
        </is>
      </c>
      <c r="D47" s="3" t="inlineStr">
        <is>
          <t>sarah.al.kaabi46@example.com</t>
        </is>
      </c>
      <c r="E47" s="3" t="inlineStr">
        <is>
          <t>Abu Dhabi</t>
        </is>
      </c>
      <c r="F47" s="3" t="inlineStr">
        <is>
          <t>general_maintenance</t>
        </is>
      </c>
      <c r="G47" s="3" t="inlineStr">
        <is>
          <t>en</t>
        </is>
      </c>
      <c r="H47" s="3" t="inlineStr">
        <is>
          <t>link</t>
        </is>
      </c>
      <c r="I47" s="4" t="n">
        <v>5</v>
      </c>
      <c r="J47" s="4" t="n">
        <v>5</v>
      </c>
      <c r="K47" s="3" t="inlineStr">
        <is>
          <t>yes</t>
        </is>
      </c>
      <c r="L47" s="4" t="n">
        <v>9</v>
      </c>
      <c r="M47" s="5" t="inlineStr">
        <is>
          <t>Reception called me twice with updates without me having to chase them.</t>
        </is>
      </c>
      <c r="N47" s="4" t="n">
        <v>5</v>
      </c>
      <c r="O47" s="4" t="n">
        <v>5</v>
      </c>
      <c r="P47" s="4" t="n">
        <v>5</v>
      </c>
      <c r="Q47" s="4" t="n">
        <v>5</v>
      </c>
      <c r="R47" s="4" t="n">
        <v>5</v>
      </c>
      <c r="S47" s="4" t="n">
        <v>5</v>
      </c>
      <c r="T47" s="6">
        <f>ROUND(AVERAGE(I47:J47),2)</f>
        <v/>
      </c>
      <c r="U47" s="6">
        <f>ROUND(AVERAGE(N47:S47),2)</f>
        <v/>
      </c>
      <c r="V47" s="7">
        <f>IF(L47&gt;=9,"promoter",IF(L47&gt;=7,"passive","detractor"))</f>
        <v/>
      </c>
      <c r="W47" s="8">
        <f>IF(OR(V47="detractor",K47&lt;&gt;"yes"),1,0)</f>
        <v/>
      </c>
      <c r="X47" s="3" t="inlineStr"/>
      <c r="Y47" s="5" t="inlineStr"/>
    </row>
    <row r="48">
      <c r="A48" s="2" t="n">
        <v>46210.79380787037</v>
      </c>
      <c r="B48" s="3" t="inlineStr">
        <is>
          <t>Fatima Verma</t>
        </is>
      </c>
      <c r="C48" s="3" t="inlineStr">
        <is>
          <t>+971 56 000 0047</t>
        </is>
      </c>
      <c r="D48" s="3" t="inlineStr">
        <is>
          <t>fatima.verma47@example.com</t>
        </is>
      </c>
      <c r="E48" s="3" t="inlineStr">
        <is>
          <t>Abu Dhabi</t>
        </is>
      </c>
      <c r="F48" s="3" t="inlineStr">
        <is>
          <t>brake_repair</t>
        </is>
      </c>
      <c r="G48" s="3" t="inlineStr">
        <is>
          <t>en</t>
        </is>
      </c>
      <c r="H48" s="3" t="inlineStr">
        <is>
          <t>link</t>
        </is>
      </c>
      <c r="I48" s="4" t="n">
        <v>5</v>
      </c>
      <c r="J48" s="4" t="n">
        <v>5</v>
      </c>
      <c r="K48" s="3" t="inlineStr">
        <is>
          <t>yes</t>
        </is>
      </c>
      <c r="L48" s="4" t="n">
        <v>10</v>
      </c>
      <c r="M48" s="5" t="inlineStr">
        <is>
          <t>They kept the old parts to show me, explained the warranty, and answered every question.</t>
        </is>
      </c>
      <c r="N48" s="4" t="n">
        <v>3</v>
      </c>
      <c r="O48" s="4" t="n">
        <v>4</v>
      </c>
      <c r="P48" s="4" t="n">
        <v>4</v>
      </c>
      <c r="Q48" s="4" t="n">
        <v>4</v>
      </c>
      <c r="R48" s="4" t="n">
        <v>4</v>
      </c>
      <c r="S48" s="4" t="n">
        <v>4</v>
      </c>
      <c r="T48" s="6">
        <f>ROUND(AVERAGE(I48:J48),2)</f>
        <v/>
      </c>
      <c r="U48" s="6">
        <f>ROUND(AVERAGE(N48:S48),2)</f>
        <v/>
      </c>
      <c r="V48" s="7">
        <f>IF(L48&gt;=9,"promoter",IF(L48&gt;=7,"passive","detractor"))</f>
        <v/>
      </c>
      <c r="W48" s="8">
        <f>IF(OR(V48="detractor",K48&lt;&gt;"yes"),1,0)</f>
        <v/>
      </c>
      <c r="X48" s="3" t="inlineStr"/>
      <c r="Y48" s="5" t="inlineStr"/>
    </row>
    <row r="49">
      <c r="A49" s="2" t="n">
        <v>46211.35554398148</v>
      </c>
      <c r="B49" s="3" t="inlineStr">
        <is>
          <t>Mariam Nair</t>
        </is>
      </c>
      <c r="C49" s="3" t="inlineStr">
        <is>
          <t>+971 50 000 0048</t>
        </is>
      </c>
      <c r="D49" s="3" t="inlineStr">
        <is>
          <t>mariam.nair48@example.com</t>
        </is>
      </c>
      <c r="E49" s="3" t="inlineStr">
        <is>
          <t>Abu Dhabi</t>
        </is>
      </c>
      <c r="F49" s="3" t="inlineStr">
        <is>
          <t>bodywork</t>
        </is>
      </c>
      <c r="G49" s="3" t="inlineStr">
        <is>
          <t>ar</t>
        </is>
      </c>
      <c r="H49" s="3" t="inlineStr">
        <is>
          <t>link</t>
        </is>
      </c>
      <c r="I49" s="4" t="n">
        <v>5</v>
      </c>
      <c r="J49" s="4" t="n">
        <v>5</v>
      </c>
      <c r="K49" s="3" t="inlineStr">
        <is>
          <t>yes</t>
        </is>
      </c>
      <c r="L49" s="4" t="n">
        <v>9</v>
      </c>
      <c r="M49" s="5" t="inlineStr">
        <is>
          <t>أفضل ورشة تعاملت معها. العمل متقن والأسعار معقولة.</t>
        </is>
      </c>
      <c r="N49" s="4" t="n">
        <v>5</v>
      </c>
      <c r="O49" s="4" t="n">
        <v>4</v>
      </c>
      <c r="P49" s="4" t="n">
        <v>5</v>
      </c>
      <c r="Q49" s="4" t="n">
        <v>5</v>
      </c>
      <c r="R49" s="4" t="n">
        <v>5</v>
      </c>
      <c r="S49" s="4" t="n">
        <v>4</v>
      </c>
      <c r="T49" s="6">
        <f>ROUND(AVERAGE(I49:J49),2)</f>
        <v/>
      </c>
      <c r="U49" s="6">
        <f>ROUND(AVERAGE(N49:S49),2)</f>
        <v/>
      </c>
      <c r="V49" s="7">
        <f>IF(L49&gt;=9,"promoter",IF(L49&gt;=7,"passive","detractor"))</f>
        <v/>
      </c>
      <c r="W49" s="8">
        <f>IF(OR(V49="detractor",K49&lt;&gt;"yes"),1,0)</f>
        <v/>
      </c>
      <c r="X49" s="3" t="inlineStr"/>
      <c r="Y49" s="5" t="inlineStr"/>
    </row>
    <row r="50">
      <c r="A50" s="2" t="n">
        <v>46211.43506944444</v>
      </c>
      <c r="B50" s="3" t="inlineStr">
        <is>
          <t>Faisal Al Zaabi</t>
        </is>
      </c>
      <c r="C50" s="3" t="inlineStr">
        <is>
          <t>+971 56 000 0049</t>
        </is>
      </c>
      <c r="D50" s="3" t="inlineStr">
        <is>
          <t>faisal.al.zaabi49@example.com</t>
        </is>
      </c>
      <c r="E50" s="3" t="inlineStr">
        <is>
          <t>Sharjah</t>
        </is>
      </c>
      <c r="F50" s="3" t="inlineStr">
        <is>
          <t>brake_repair</t>
        </is>
      </c>
      <c r="G50" s="3" t="inlineStr">
        <is>
          <t>en</t>
        </is>
      </c>
      <c r="H50" s="3" t="inlineStr">
        <is>
          <t>link</t>
        </is>
      </c>
      <c r="I50" s="4" t="n">
        <v>4</v>
      </c>
      <c r="J50" s="4" t="n">
        <v>4</v>
      </c>
      <c r="K50" s="3" t="inlineStr">
        <is>
          <t>yes</t>
        </is>
      </c>
      <c r="L50" s="4" t="n">
        <v>10</v>
      </c>
      <c r="M50" s="5" t="inlineStr">
        <is>
          <t>Very clean workshop and the staff actually listen. the brake job was finished ahead of the time they promised.</t>
        </is>
      </c>
      <c r="N50" s="4" t="n">
        <v>5</v>
      </c>
      <c r="O50" s="4" t="n">
        <v>5</v>
      </c>
      <c r="P50" s="4" t="n">
        <v>5</v>
      </c>
      <c r="Q50" s="4" t="n">
        <v>4</v>
      </c>
      <c r="R50" s="4" t="n">
        <v>5</v>
      </c>
      <c r="S50" s="4" t="n">
        <v>5</v>
      </c>
      <c r="T50" s="6">
        <f>ROUND(AVERAGE(I50:J50),2)</f>
        <v/>
      </c>
      <c r="U50" s="6">
        <f>ROUND(AVERAGE(N50:S50),2)</f>
        <v/>
      </c>
      <c r="V50" s="7">
        <f>IF(L50&gt;=9,"promoter",IF(L50&gt;=7,"passive","detractor"))</f>
        <v/>
      </c>
      <c r="W50" s="8">
        <f>IF(OR(V50="detractor",K50&lt;&gt;"yes"),1,0)</f>
        <v/>
      </c>
      <c r="X50" s="3" t="inlineStr"/>
      <c r="Y50" s="5" t="inlineStr"/>
    </row>
    <row r="51">
      <c r="A51" s="2" t="n">
        <v>46211.56865740741</v>
      </c>
      <c r="B51" s="3" t="inlineStr">
        <is>
          <t>Farhan Ahmed</t>
        </is>
      </c>
      <c r="C51" s="3" t="inlineStr">
        <is>
          <t>+971 56 000 0050</t>
        </is>
      </c>
      <c r="D51" s="3" t="inlineStr">
        <is>
          <t>farhan.ahmed50@example.com</t>
        </is>
      </c>
      <c r="E51" s="3" t="inlineStr">
        <is>
          <t>Sharjah</t>
        </is>
      </c>
      <c r="F51" s="3" t="inlineStr">
        <is>
          <t>tire_service</t>
        </is>
      </c>
      <c r="G51" s="3" t="inlineStr">
        <is>
          <t>en</t>
        </is>
      </c>
      <c r="H51" s="3" t="inlineStr">
        <is>
          <t>link</t>
        </is>
      </c>
      <c r="I51" s="4" t="n">
        <v>4</v>
      </c>
      <c r="J51" s="4" t="n">
        <v>3</v>
      </c>
      <c r="K51" s="3" t="inlineStr">
        <is>
          <t>yes</t>
        </is>
      </c>
      <c r="L51" s="4" t="n">
        <v>7</v>
      </c>
      <c r="M51" s="5" t="inlineStr">
        <is>
          <t>Satisfied with the repair itself, though the final bill was a little above the estimate.</t>
        </is>
      </c>
      <c r="N51" s="4" t="n">
        <v>4</v>
      </c>
      <c r="O51" s="4" t="n">
        <v>4</v>
      </c>
      <c r="P51" s="4" t="n">
        <v>4</v>
      </c>
      <c r="Q51" s="4" t="n">
        <v>5</v>
      </c>
      <c r="R51" s="4" t="n">
        <v>4</v>
      </c>
      <c r="S51" s="4" t="n">
        <v>3</v>
      </c>
      <c r="T51" s="6">
        <f>ROUND(AVERAGE(I51:J51),2)</f>
        <v/>
      </c>
      <c r="U51" s="6">
        <f>ROUND(AVERAGE(N51:S51),2)</f>
        <v/>
      </c>
      <c r="V51" s="7">
        <f>IF(L51&gt;=9,"promoter",IF(L51&gt;=7,"passive","detractor"))</f>
        <v/>
      </c>
      <c r="W51" s="8">
        <f>IF(OR(V51="detractor",K51&lt;&gt;"yes"),1,0)</f>
        <v/>
      </c>
      <c r="X51" s="3" t="inlineStr"/>
      <c r="Y51" s="5" t="inlineStr"/>
    </row>
    <row r="52">
      <c r="A52" s="2" t="n">
        <v>46211.70371527778</v>
      </c>
      <c r="B52" s="3" t="inlineStr">
        <is>
          <t>Aisha Al Yammahi</t>
        </is>
      </c>
      <c r="C52" s="3" t="inlineStr">
        <is>
          <t>+971 50 000 0051</t>
        </is>
      </c>
      <c r="D52" s="3" t="inlineStr">
        <is>
          <t>aisha.al.yammahi51@example.com</t>
        </is>
      </c>
      <c r="E52" s="3" t="inlineStr">
        <is>
          <t>Sharjah</t>
        </is>
      </c>
      <c r="F52" s="3" t="inlineStr">
        <is>
          <t>brake_repair</t>
        </is>
      </c>
      <c r="G52" s="3" t="inlineStr">
        <is>
          <t>en</t>
        </is>
      </c>
      <c r="H52" s="3" t="inlineStr">
        <is>
          <t>link</t>
        </is>
      </c>
      <c r="I52" s="4" t="n">
        <v>5</v>
      </c>
      <c r="J52" s="4" t="n">
        <v>4</v>
      </c>
      <c r="K52" s="3" t="inlineStr">
        <is>
          <t>partially</t>
        </is>
      </c>
      <c r="L52" s="4" t="n">
        <v>9</v>
      </c>
      <c r="M52" s="5" t="inlineStr">
        <is>
          <t>Waiting area is comfortable and the estimate they gave was accurate to the dirham.</t>
        </is>
      </c>
      <c r="N52" s="4" t="n">
        <v>5</v>
      </c>
      <c r="O52" s="4" t="n">
        <v>5</v>
      </c>
      <c r="P52" s="4" t="n">
        <v>5</v>
      </c>
      <c r="Q52" s="4" t="n">
        <v>5</v>
      </c>
      <c r="R52" s="4" t="n">
        <v>4</v>
      </c>
      <c r="S52" s="4" t="n">
        <v>5</v>
      </c>
      <c r="T52" s="6">
        <f>ROUND(AVERAGE(I52:J52),2)</f>
        <v/>
      </c>
      <c r="U52" s="6">
        <f>ROUND(AVERAGE(N52:S52),2)</f>
        <v/>
      </c>
      <c r="V52" s="7">
        <f>IF(L52&gt;=9,"promoter",IF(L52&gt;=7,"passive","detractor"))</f>
        <v/>
      </c>
      <c r="W52" s="8">
        <f>IF(OR(V52="detractor",K52&lt;&gt;"yes"),1,0)</f>
        <v/>
      </c>
      <c r="X52" s="2" t="n">
        <v>46213.49538194444</v>
      </c>
      <c r="Y52" s="5" t="inlineStr">
        <is>
          <t>Called the customer, apologised for the delay and booked a free re-check.</t>
        </is>
      </c>
    </row>
    <row r="53">
      <c r="A53" s="2" t="n">
        <v>46211.80421296296</v>
      </c>
      <c r="B53" s="3" t="inlineStr">
        <is>
          <t>Sajan Al Marzouqi</t>
        </is>
      </c>
      <c r="C53" s="3" t="inlineStr">
        <is>
          <t>+971 55 000 0052</t>
        </is>
      </c>
      <c r="D53" s="3" t="inlineStr">
        <is>
          <t>sajan.al.marzouqi52@example.com</t>
        </is>
      </c>
      <c r="E53" s="3" t="inlineStr">
        <is>
          <t>Sharjah</t>
        </is>
      </c>
      <c r="F53" s="3" t="inlineStr">
        <is>
          <t>brake_repair</t>
        </is>
      </c>
      <c r="G53" s="3" t="inlineStr">
        <is>
          <t>en</t>
        </is>
      </c>
      <c r="H53" s="3" t="inlineStr">
        <is>
          <t>link</t>
        </is>
      </c>
      <c r="I53" s="4" t="n">
        <v>4</v>
      </c>
      <c r="J53" s="4" t="n">
        <v>4</v>
      </c>
      <c r="K53" s="3" t="inlineStr">
        <is>
          <t>yes</t>
        </is>
      </c>
      <c r="L53" s="4" t="n">
        <v>10</v>
      </c>
      <c r="M53" s="5" t="inlineStr">
        <is>
          <t>Price, quality and communication were all good. I will not go anywhere else.</t>
        </is>
      </c>
      <c r="N53" s="4" t="n">
        <v>4</v>
      </c>
      <c r="O53" s="4" t="n">
        <v>4</v>
      </c>
      <c r="P53" s="4" t="n">
        <v>3</v>
      </c>
      <c r="Q53" s="4" t="n">
        <v>4</v>
      </c>
      <c r="R53" s="4" t="n">
        <v>4</v>
      </c>
      <c r="S53" s="4" t="n">
        <v>3</v>
      </c>
      <c r="T53" s="6">
        <f>ROUND(AVERAGE(I53:J53),2)</f>
        <v/>
      </c>
      <c r="U53" s="6">
        <f>ROUND(AVERAGE(N53:S53),2)</f>
        <v/>
      </c>
      <c r="V53" s="7">
        <f>IF(L53&gt;=9,"promoter",IF(L53&gt;=7,"passive","detractor"))</f>
        <v/>
      </c>
      <c r="W53" s="8">
        <f>IF(OR(V53="detractor",K53&lt;&gt;"yes"),1,0)</f>
        <v/>
      </c>
      <c r="X53" s="3" t="inlineStr"/>
      <c r="Y53" s="5" t="inlineStr"/>
    </row>
    <row r="54">
      <c r="A54" s="2" t="n">
        <v>46211.87237268518</v>
      </c>
      <c r="B54" s="3" t="inlineStr">
        <is>
          <t>Jomar Iyer</t>
        </is>
      </c>
      <c r="C54" s="3" t="inlineStr">
        <is>
          <t>+971 54 000 0053</t>
        </is>
      </c>
      <c r="D54" s="3" t="inlineStr">
        <is>
          <t>jomar.iyer53@example.com</t>
        </is>
      </c>
      <c r="E54" s="3" t="inlineStr">
        <is>
          <t>Dubai</t>
        </is>
      </c>
      <c r="F54" s="3" t="inlineStr">
        <is>
          <t>brake_repair</t>
        </is>
      </c>
      <c r="G54" s="3" t="inlineStr">
        <is>
          <t>en</t>
        </is>
      </c>
      <c r="H54" s="3" t="inlineStr">
        <is>
          <t>link</t>
        </is>
      </c>
      <c r="I54" s="4" t="n">
        <v>4</v>
      </c>
      <c r="J54" s="4" t="n">
        <v>5</v>
      </c>
      <c r="K54" s="3" t="inlineStr">
        <is>
          <t>yes</t>
        </is>
      </c>
      <c r="L54" s="4" t="n">
        <v>10</v>
      </c>
      <c r="M54" s="5" t="inlineStr">
        <is>
          <t>Pick-up and drop-off made it easy to get the brake job done without taking leave from work.</t>
        </is>
      </c>
      <c r="N54" s="4" t="n">
        <v>5</v>
      </c>
      <c r="O54" s="4" t="n">
        <v>5</v>
      </c>
      <c r="P54" s="4" t="n">
        <v>5</v>
      </c>
      <c r="Q54" s="4" t="n">
        <v>4</v>
      </c>
      <c r="R54" s="4" t="n">
        <v>4</v>
      </c>
      <c r="S54" s="4" t="n">
        <v>5</v>
      </c>
      <c r="T54" s="6">
        <f>ROUND(AVERAGE(I54:J54),2)</f>
        <v/>
      </c>
      <c r="U54" s="6">
        <f>ROUND(AVERAGE(N54:S54),2)</f>
        <v/>
      </c>
      <c r="V54" s="7">
        <f>IF(L54&gt;=9,"promoter",IF(L54&gt;=7,"passive","detractor"))</f>
        <v/>
      </c>
      <c r="W54" s="8">
        <f>IF(OR(V54="detractor",K54&lt;&gt;"yes"),1,0)</f>
        <v/>
      </c>
      <c r="X54" s="3" t="inlineStr"/>
      <c r="Y54" s="5" t="inlineStr"/>
    </row>
    <row r="55">
      <c r="A55" s="2" t="n">
        <v>46212.47229166667</v>
      </c>
      <c r="B55" s="3" t="inlineStr">
        <is>
          <t>Anita Kamau</t>
        </is>
      </c>
      <c r="C55" s="3" t="inlineStr">
        <is>
          <t>+971 58 000 0054</t>
        </is>
      </c>
      <c r="D55" s="3" t="inlineStr">
        <is>
          <t>anita.kamau54@example.com</t>
        </is>
      </c>
      <c r="E55" s="3" t="inlineStr">
        <is>
          <t>Sharjah</t>
        </is>
      </c>
      <c r="F55" s="3" t="inlineStr">
        <is>
          <t>electrical</t>
        </is>
      </c>
      <c r="G55" s="3" t="inlineStr">
        <is>
          <t>en</t>
        </is>
      </c>
      <c r="H55" s="3" t="inlineStr">
        <is>
          <t>qr</t>
        </is>
      </c>
      <c r="I55" s="4" t="n">
        <v>5</v>
      </c>
      <c r="J55" s="4" t="n">
        <v>5</v>
      </c>
      <c r="K55" s="3" t="inlineStr">
        <is>
          <t>yes</t>
        </is>
      </c>
      <c r="L55" s="4" t="n">
        <v>9</v>
      </c>
      <c r="M55" s="5" t="inlineStr">
        <is>
          <t>Excellent work on the electrical fault. Already recommended them to two colleagues at work.</t>
        </is>
      </c>
      <c r="N55" s="4" t="n">
        <v>5</v>
      </c>
      <c r="O55" s="4" t="n">
        <v>5</v>
      </c>
      <c r="P55" s="4" t="n">
        <v>4</v>
      </c>
      <c r="Q55" s="4" t="n">
        <v>5</v>
      </c>
      <c r="R55" s="4" t="n">
        <v>5</v>
      </c>
      <c r="S55" s="4" t="n">
        <v>5</v>
      </c>
      <c r="T55" s="6">
        <f>ROUND(AVERAGE(I55:J55),2)</f>
        <v/>
      </c>
      <c r="U55" s="6">
        <f>ROUND(AVERAGE(N55:S55),2)</f>
        <v/>
      </c>
      <c r="V55" s="7">
        <f>IF(L55&gt;=9,"promoter",IF(L55&gt;=7,"passive","detractor"))</f>
        <v/>
      </c>
      <c r="W55" s="8">
        <f>IF(OR(V55="detractor",K55&lt;&gt;"yes"),1,0)</f>
        <v/>
      </c>
      <c r="X55" s="3" t="inlineStr"/>
      <c r="Y55" s="5" t="inlineStr"/>
    </row>
    <row r="56">
      <c r="A56" s="2" t="n">
        <v>46212.58913194444</v>
      </c>
      <c r="B56" s="3" t="inlineStr">
        <is>
          <t>Marife Aquino</t>
        </is>
      </c>
      <c r="C56" s="3" t="inlineStr">
        <is>
          <t>+971 56 000 0055</t>
        </is>
      </c>
      <c r="D56" s="3" t="inlineStr">
        <is>
          <t>marife.aquino55@example.com</t>
        </is>
      </c>
      <c r="E56" s="3" t="inlineStr">
        <is>
          <t>Sharjah</t>
        </is>
      </c>
      <c r="F56" s="3" t="inlineStr">
        <is>
          <t>transmission</t>
        </is>
      </c>
      <c r="G56" s="3" t="inlineStr">
        <is>
          <t>en</t>
        </is>
      </c>
      <c r="H56" s="3" t="inlineStr">
        <is>
          <t>link</t>
        </is>
      </c>
      <c r="I56" s="4" t="n">
        <v>1</v>
      </c>
      <c r="J56" s="4" t="n">
        <v>2</v>
      </c>
      <c r="K56" s="3" t="inlineStr">
        <is>
          <t>no</t>
        </is>
      </c>
      <c r="L56" s="4" t="n">
        <v>4</v>
      </c>
      <c r="M56" s="5" t="inlineStr">
        <is>
          <t>Poor communication throughout. I had to keep coming to the branch in person to get answers.</t>
        </is>
      </c>
      <c r="N56" s="4" t="n">
        <v>1</v>
      </c>
      <c r="O56" s="4" t="n">
        <v>2</v>
      </c>
      <c r="P56" s="4" t="n">
        <v>2</v>
      </c>
      <c r="Q56" s="4" t="n">
        <v>1</v>
      </c>
      <c r="R56" s="4" t="n">
        <v>1</v>
      </c>
      <c r="S56" s="4" t="n">
        <v>2</v>
      </c>
      <c r="T56" s="6">
        <f>ROUND(AVERAGE(I56:J56),2)</f>
        <v/>
      </c>
      <c r="U56" s="6">
        <f>ROUND(AVERAGE(N56:S56),2)</f>
        <v/>
      </c>
      <c r="V56" s="7">
        <f>IF(L56&gt;=9,"promoter",IF(L56&gt;=7,"passive","detractor"))</f>
        <v/>
      </c>
      <c r="W56" s="8">
        <f>IF(OR(V56="detractor",K56&lt;&gt;"yes"),1,0)</f>
        <v/>
      </c>
      <c r="X56" s="3" t="inlineStr"/>
      <c r="Y56" s="5" t="inlineStr"/>
    </row>
    <row r="57">
      <c r="A57" s="2" t="n">
        <v>46213.49738425926</v>
      </c>
      <c r="B57" s="3" t="inlineStr">
        <is>
          <t>Michael Nair</t>
        </is>
      </c>
      <c r="C57" s="3" t="inlineStr">
        <is>
          <t>+971 50 000 0056</t>
        </is>
      </c>
      <c r="D57" s="3" t="inlineStr">
        <is>
          <t>michael.nair56@example.com</t>
        </is>
      </c>
      <c r="E57" s="3" t="inlineStr">
        <is>
          <t>Abu Dhabi</t>
        </is>
      </c>
      <c r="F57" s="3" t="inlineStr">
        <is>
          <t>oil_change</t>
        </is>
      </c>
      <c r="G57" s="3" t="inlineStr">
        <is>
          <t>en</t>
        </is>
      </c>
      <c r="H57" s="3" t="inlineStr">
        <is>
          <t>link</t>
        </is>
      </c>
      <c r="I57" s="4" t="n">
        <v>5</v>
      </c>
      <c r="J57" s="4" t="n">
        <v>4</v>
      </c>
      <c r="K57" s="3" t="inlineStr">
        <is>
          <t>yes</t>
        </is>
      </c>
      <c r="L57" s="4" t="n">
        <v>10</v>
      </c>
      <c r="M57" s="5" t="inlineStr">
        <is>
          <t>The technician showed me the problem on the car itself instead of just handing me a bill.</t>
        </is>
      </c>
      <c r="N57" s="4" t="n">
        <v>5</v>
      </c>
      <c r="O57" s="4" t="n">
        <v>4</v>
      </c>
      <c r="P57" s="4" t="n">
        <v>5</v>
      </c>
      <c r="Q57" s="4" t="n">
        <v>5</v>
      </c>
      <c r="R57" s="4" t="n">
        <v>4</v>
      </c>
      <c r="S57" s="4" t="n">
        <v>4</v>
      </c>
      <c r="T57" s="6">
        <f>ROUND(AVERAGE(I57:J57),2)</f>
        <v/>
      </c>
      <c r="U57" s="6">
        <f>ROUND(AVERAGE(N57:S57),2)</f>
        <v/>
      </c>
      <c r="V57" s="7">
        <f>IF(L57&gt;=9,"promoter",IF(L57&gt;=7,"passive","detractor"))</f>
        <v/>
      </c>
      <c r="W57" s="8">
        <f>IF(OR(V57="detractor",K57&lt;&gt;"yes"),1,0)</f>
        <v/>
      </c>
      <c r="X57" s="3" t="inlineStr"/>
      <c r="Y57" s="5" t="inlineStr"/>
    </row>
    <row r="58">
      <c r="A58" s="2" t="n">
        <v>46213.72137731482</v>
      </c>
      <c r="B58" s="3" t="inlineStr">
        <is>
          <t>Stephen Mendoza</t>
        </is>
      </c>
      <c r="C58" s="3" t="inlineStr">
        <is>
          <t>+971 58 000 0057</t>
        </is>
      </c>
      <c r="D58" s="3" t="inlineStr">
        <is>
          <t>stephen.mendoza57@example.com</t>
        </is>
      </c>
      <c r="E58" s="3" t="inlineStr">
        <is>
          <t>Sharjah</t>
        </is>
      </c>
      <c r="F58" s="3" t="inlineStr">
        <is>
          <t>brake_repair</t>
        </is>
      </c>
      <c r="G58" s="3" t="inlineStr">
        <is>
          <t>en</t>
        </is>
      </c>
      <c r="H58" s="3" t="inlineStr">
        <is>
          <t>link</t>
        </is>
      </c>
      <c r="I58" s="4" t="n">
        <v>5</v>
      </c>
      <c r="J58" s="4" t="n">
        <v>4</v>
      </c>
      <c r="K58" s="3" t="inlineStr">
        <is>
          <t>yes</t>
        </is>
      </c>
      <c r="L58" s="4" t="n">
        <v>10</v>
      </c>
      <c r="M58" s="5" t="inlineStr">
        <is>
          <t>Honest team — they told me one part I expected to replace was still fine.</t>
        </is>
      </c>
      <c r="N58" s="4" t="n">
        <v>5</v>
      </c>
      <c r="O58" s="4" t="n">
        <v>5</v>
      </c>
      <c r="P58" s="4" t="n">
        <v>5</v>
      </c>
      <c r="Q58" s="4" t="n">
        <v>4</v>
      </c>
      <c r="R58" s="4" t="n">
        <v>5</v>
      </c>
      <c r="S58" s="4" t="n">
        <v>5</v>
      </c>
      <c r="T58" s="6">
        <f>ROUND(AVERAGE(I58:J58),2)</f>
        <v/>
      </c>
      <c r="U58" s="6">
        <f>ROUND(AVERAGE(N58:S58),2)</f>
        <v/>
      </c>
      <c r="V58" s="7">
        <f>IF(L58&gt;=9,"promoter",IF(L58&gt;=7,"passive","detractor"))</f>
        <v/>
      </c>
      <c r="W58" s="8">
        <f>IF(OR(V58="detractor",K58&lt;&gt;"yes"),1,0)</f>
        <v/>
      </c>
      <c r="X58" s="3" t="inlineStr"/>
      <c r="Y58" s="5" t="inlineStr"/>
    </row>
    <row r="59">
      <c r="A59" s="2" t="n">
        <v>46213.77962962963</v>
      </c>
      <c r="B59" s="3" t="inlineStr">
        <is>
          <t>Meera Butt</t>
        </is>
      </c>
      <c r="C59" s="3" t="inlineStr">
        <is>
          <t>+971 52 000 0058</t>
        </is>
      </c>
      <c r="D59" s="3" t="inlineStr">
        <is>
          <t>meera.butt58@example.com</t>
        </is>
      </c>
      <c r="E59" s="3" t="inlineStr">
        <is>
          <t>Al Ain</t>
        </is>
      </c>
      <c r="F59" s="3" t="inlineStr">
        <is>
          <t>oil_change</t>
        </is>
      </c>
      <c r="G59" s="3" t="inlineStr">
        <is>
          <t>en</t>
        </is>
      </c>
      <c r="H59" s="3" t="inlineStr">
        <is>
          <t>link</t>
        </is>
      </c>
      <c r="I59" s="4" t="n">
        <v>5</v>
      </c>
      <c r="J59" s="4" t="n">
        <v>5</v>
      </c>
      <c r="K59" s="3" t="inlineStr">
        <is>
          <t>yes</t>
        </is>
      </c>
      <c r="L59" s="4" t="n">
        <v>9</v>
      </c>
      <c r="M59" s="5" t="inlineStr">
        <is>
          <t>Quoted price was the final price. No surprises on the invoice after the oil and filter change.</t>
        </is>
      </c>
      <c r="N59" s="4" t="n">
        <v>5</v>
      </c>
      <c r="O59" s="4" t="n">
        <v>5</v>
      </c>
      <c r="P59" s="4" t="n">
        <v>5</v>
      </c>
      <c r="Q59" s="4" t="n">
        <v>5</v>
      </c>
      <c r="R59" s="4" t="n">
        <v>4</v>
      </c>
      <c r="S59" s="4" t="n">
        <v>5</v>
      </c>
      <c r="T59" s="6">
        <f>ROUND(AVERAGE(I59:J59),2)</f>
        <v/>
      </c>
      <c r="U59" s="6">
        <f>ROUND(AVERAGE(N59:S59),2)</f>
        <v/>
      </c>
      <c r="V59" s="7">
        <f>IF(L59&gt;=9,"promoter",IF(L59&gt;=7,"passive","detractor"))</f>
        <v/>
      </c>
      <c r="W59" s="8">
        <f>IF(OR(V59="detractor",K59&lt;&gt;"yes"),1,0)</f>
        <v/>
      </c>
      <c r="X59" s="3" t="inlineStr"/>
      <c r="Y59" s="5" t="inlineStr"/>
    </row>
    <row r="60">
      <c r="A60" s="2" t="n">
        <v>46214.35488425926</v>
      </c>
      <c r="B60" s="3" t="inlineStr">
        <is>
          <t>Waleed Reddy</t>
        </is>
      </c>
      <c r="C60" s="3" t="inlineStr">
        <is>
          <t>+971 55 000 0059</t>
        </is>
      </c>
      <c r="D60" s="3" t="inlineStr">
        <is>
          <t>waleed.reddy59@example.com</t>
        </is>
      </c>
      <c r="E60" s="3" t="inlineStr">
        <is>
          <t>Abu Dhabi</t>
        </is>
      </c>
      <c r="F60" s="3" t="inlineStr">
        <is>
          <t>diagnostic</t>
        </is>
      </c>
      <c r="G60" s="3" t="inlineStr">
        <is>
          <t>en</t>
        </is>
      </c>
      <c r="H60" s="3" t="inlineStr">
        <is>
          <t>link</t>
        </is>
      </c>
      <c r="I60" s="4" t="n">
        <v>5</v>
      </c>
      <c r="J60" s="4" t="n">
        <v>5</v>
      </c>
      <c r="K60" s="3" t="inlineStr">
        <is>
          <t>yes</t>
        </is>
      </c>
      <c r="L60" s="4" t="n">
        <v>9</v>
      </c>
      <c r="M60" s="5" t="inlineStr">
        <is>
          <t>They followed up a week later to check the car was still running well.</t>
        </is>
      </c>
      <c r="N60" s="4" t="n">
        <v>5</v>
      </c>
      <c r="O60" s="4" t="n">
        <v>5</v>
      </c>
      <c r="P60" s="4" t="n">
        <v>5</v>
      </c>
      <c r="Q60" s="4" t="n">
        <v>4</v>
      </c>
      <c r="R60" s="4" t="n">
        <v>5</v>
      </c>
      <c r="S60" s="4" t="n">
        <v>5</v>
      </c>
      <c r="T60" s="6">
        <f>ROUND(AVERAGE(I60:J60),2)</f>
        <v/>
      </c>
      <c r="U60" s="6">
        <f>ROUND(AVERAGE(N60:S60),2)</f>
        <v/>
      </c>
      <c r="V60" s="7">
        <f>IF(L60&gt;=9,"promoter",IF(L60&gt;=7,"passive","detractor"))</f>
        <v/>
      </c>
      <c r="W60" s="8">
        <f>IF(OR(V60="detractor",K60&lt;&gt;"yes"),1,0)</f>
        <v/>
      </c>
      <c r="X60" s="3" t="inlineStr"/>
      <c r="Y60" s="5" t="inlineStr"/>
    </row>
    <row r="61">
      <c r="A61" s="2" t="n">
        <v>46214.51347222222</v>
      </c>
      <c r="B61" s="3" t="inlineStr">
        <is>
          <t>Yousef Al Hammadi</t>
        </is>
      </c>
      <c r="C61" s="3" t="inlineStr">
        <is>
          <t>+971 56 000 0060</t>
        </is>
      </c>
      <c r="D61" s="3" t="inlineStr">
        <is>
          <t>yousef.al.hammadi60@example.com</t>
        </is>
      </c>
      <c r="E61" s="3" t="inlineStr">
        <is>
          <t>Sharjah</t>
        </is>
      </c>
      <c r="F61" s="3" t="inlineStr">
        <is>
          <t>general_maintenance</t>
        </is>
      </c>
      <c r="G61" s="3" t="inlineStr">
        <is>
          <t>en</t>
        </is>
      </c>
      <c r="H61" s="3" t="inlineStr">
        <is>
          <t>portal</t>
        </is>
      </c>
      <c r="I61" s="4" t="n">
        <v>4</v>
      </c>
      <c r="J61" s="4" t="n">
        <v>4</v>
      </c>
      <c r="K61" s="3" t="inlineStr">
        <is>
          <t>yes</t>
        </is>
      </c>
      <c r="L61" s="4" t="n">
        <v>9</v>
      </c>
      <c r="M61" s="5" t="inlineStr">
        <is>
          <t>The whole process was easy — booking online, dropping the car, paying by card.</t>
        </is>
      </c>
      <c r="N61" s="4" t="n">
        <v>4</v>
      </c>
      <c r="O61" s="4" t="n">
        <v>5</v>
      </c>
      <c r="P61" s="4" t="n">
        <v>5</v>
      </c>
      <c r="Q61" s="4" t="n">
        <v>4</v>
      </c>
      <c r="R61" s="4" t="n">
        <v>5</v>
      </c>
      <c r="S61" s="4" t="n">
        <v>5</v>
      </c>
      <c r="T61" s="6">
        <f>ROUND(AVERAGE(I61:J61),2)</f>
        <v/>
      </c>
      <c r="U61" s="6">
        <f>ROUND(AVERAGE(N61:S61),2)</f>
        <v/>
      </c>
      <c r="V61" s="7">
        <f>IF(L61&gt;=9,"promoter",IF(L61&gt;=7,"passive","detractor"))</f>
        <v/>
      </c>
      <c r="W61" s="8">
        <f>IF(OR(V61="detractor",K61&lt;&gt;"yes"),1,0)</f>
        <v/>
      </c>
      <c r="X61" s="3" t="inlineStr"/>
      <c r="Y61" s="5" t="inlineStr"/>
    </row>
    <row r="62">
      <c r="A62" s="2" t="n">
        <v>46214.86054398148</v>
      </c>
      <c r="B62" s="3" t="inlineStr">
        <is>
          <t>Omar Al Ali</t>
        </is>
      </c>
      <c r="C62" s="3" t="inlineStr">
        <is>
          <t>+971 52 000 0061</t>
        </is>
      </c>
      <c r="D62" s="3" t="inlineStr">
        <is>
          <t>omar.al.ali61@example.com</t>
        </is>
      </c>
      <c r="E62" s="3" t="inlineStr">
        <is>
          <t>Dubai</t>
        </is>
      </c>
      <c r="F62" s="3" t="inlineStr">
        <is>
          <t>general_maintenance</t>
        </is>
      </c>
      <c r="G62" s="3" t="inlineStr">
        <is>
          <t>en</t>
        </is>
      </c>
      <c r="H62" s="3" t="inlineStr">
        <is>
          <t>link</t>
        </is>
      </c>
      <c r="I62" s="4" t="n">
        <v>5</v>
      </c>
      <c r="J62" s="4" t="n">
        <v>4</v>
      </c>
      <c r="K62" s="3" t="inlineStr">
        <is>
          <t>yes</t>
        </is>
      </c>
      <c r="L62" s="4" t="n">
        <v>9</v>
      </c>
      <c r="M62" s="5" t="inlineStr">
        <is>
          <t>They fitted me in the same day for an emergency and still finished the routine service on time.</t>
        </is>
      </c>
      <c r="N62" s="4" t="n">
        <v>5</v>
      </c>
      <c r="O62" s="4" t="n">
        <v>5</v>
      </c>
      <c r="P62" s="4" t="n">
        <v>4</v>
      </c>
      <c r="Q62" s="4" t="n">
        <v>5</v>
      </c>
      <c r="R62" s="4" t="n">
        <v>5</v>
      </c>
      <c r="S62" s="4" t="n">
        <v>5</v>
      </c>
      <c r="T62" s="6">
        <f>ROUND(AVERAGE(I62:J62),2)</f>
        <v/>
      </c>
      <c r="U62" s="6">
        <f>ROUND(AVERAGE(N62:S62),2)</f>
        <v/>
      </c>
      <c r="V62" s="7">
        <f>IF(L62&gt;=9,"promoter",IF(L62&gt;=7,"passive","detractor"))</f>
        <v/>
      </c>
      <c r="W62" s="8">
        <f>IF(OR(V62="detractor",K62&lt;&gt;"yes"),1,0)</f>
        <v/>
      </c>
      <c r="X62" s="3" t="inlineStr"/>
      <c r="Y62" s="5" t="inlineStr"/>
    </row>
    <row r="63">
      <c r="A63" s="2" t="n">
        <v>46215.39527777778</v>
      </c>
      <c r="B63" s="3" t="inlineStr">
        <is>
          <t>Emma Al Rashidi</t>
        </is>
      </c>
      <c r="C63" s="3" t="inlineStr">
        <is>
          <t>+971 55 000 0062</t>
        </is>
      </c>
      <c r="D63" s="3" t="inlineStr">
        <is>
          <t>emma.al.rashidi62@example.com</t>
        </is>
      </c>
      <c r="E63" s="3" t="inlineStr">
        <is>
          <t>Abu Dhabi</t>
        </is>
      </c>
      <c r="F63" s="3" t="inlineStr">
        <is>
          <t>oil_change</t>
        </is>
      </c>
      <c r="G63" s="3" t="inlineStr">
        <is>
          <t>en</t>
        </is>
      </c>
      <c r="H63" s="3" t="inlineStr">
        <is>
          <t>qr</t>
        </is>
      </c>
      <c r="I63" s="4" t="n">
        <v>2</v>
      </c>
      <c r="J63" s="4" t="n">
        <v>2</v>
      </c>
      <c r="K63" s="3" t="inlineStr">
        <is>
          <t>no</t>
        </is>
      </c>
      <c r="L63" s="4" t="n">
        <v>5</v>
      </c>
      <c r="M63" s="5" t="inlineStr">
        <is>
          <t>Overcharged compared to the quote and the attitude at the desk was dismissive.</t>
        </is>
      </c>
      <c r="N63" s="4" t="n">
        <v>3</v>
      </c>
      <c r="O63" s="4" t="n">
        <v>4</v>
      </c>
      <c r="P63" s="4" t="n">
        <v>3</v>
      </c>
      <c r="Q63" s="4" t="n">
        <v>2</v>
      </c>
      <c r="R63" s="4" t="n">
        <v>3</v>
      </c>
      <c r="S63" s="4" t="n">
        <v>2</v>
      </c>
      <c r="T63" s="6">
        <f>ROUND(AVERAGE(I63:J63),2)</f>
        <v/>
      </c>
      <c r="U63" s="6">
        <f>ROUND(AVERAGE(N63:S63),2)</f>
        <v/>
      </c>
      <c r="V63" s="7">
        <f>IF(L63&gt;=9,"promoter",IF(L63&gt;=7,"passive","detractor"))</f>
        <v/>
      </c>
      <c r="W63" s="8">
        <f>IF(OR(V63="detractor",K63&lt;&gt;"yes"),1,0)</f>
        <v/>
      </c>
      <c r="X63" s="2" t="n">
        <v>46216.39527777778</v>
      </c>
      <c r="Y63" s="5" t="inlineStr">
        <is>
          <t>Customer contacted; branch manager reviewed the invoice and issued a partial credit.</t>
        </is>
      </c>
    </row>
    <row r="64">
      <c r="A64" s="2" t="n">
        <v>46215.40377314815</v>
      </c>
      <c r="B64" s="3" t="inlineStr">
        <is>
          <t>Emma Villanueva</t>
        </is>
      </c>
      <c r="C64" s="3" t="inlineStr">
        <is>
          <t>+971 54 000 0063</t>
        </is>
      </c>
      <c r="D64" s="3" t="inlineStr">
        <is>
          <t>emma.villanueva63@example.com</t>
        </is>
      </c>
      <c r="E64" s="3" t="inlineStr">
        <is>
          <t>Dubai</t>
        </is>
      </c>
      <c r="F64" s="3" t="inlineStr">
        <is>
          <t>brake_repair</t>
        </is>
      </c>
      <c r="G64" s="3" t="inlineStr">
        <is>
          <t>en</t>
        </is>
      </c>
      <c r="H64" s="3" t="inlineStr">
        <is>
          <t>qr</t>
        </is>
      </c>
      <c r="I64" s="4" t="n">
        <v>4</v>
      </c>
      <c r="J64" s="4" t="n">
        <v>4</v>
      </c>
      <c r="K64" s="3" t="inlineStr">
        <is>
          <t>yes</t>
        </is>
      </c>
      <c r="L64" s="4" t="n">
        <v>7</v>
      </c>
      <c r="M64" s="5" t="inlineStr">
        <is>
          <t>the brake job is fine. Parking at the branch is difficult when you arrive after nine.</t>
        </is>
      </c>
      <c r="N64" s="4" t="n">
        <v>4</v>
      </c>
      <c r="O64" s="4" t="n">
        <v>4</v>
      </c>
      <c r="P64" s="4" t="n">
        <v>5</v>
      </c>
      <c r="Q64" s="4" t="n">
        <v>4</v>
      </c>
      <c r="R64" s="4" t="n">
        <v>4</v>
      </c>
      <c r="S64" s="4" t="n">
        <v>3</v>
      </c>
      <c r="T64" s="6">
        <f>ROUND(AVERAGE(I64:J64),2)</f>
        <v/>
      </c>
      <c r="U64" s="6">
        <f>ROUND(AVERAGE(N64:S64),2)</f>
        <v/>
      </c>
      <c r="V64" s="7">
        <f>IF(L64&gt;=9,"promoter",IF(L64&gt;=7,"passive","detractor"))</f>
        <v/>
      </c>
      <c r="W64" s="8">
        <f>IF(OR(V64="detractor",K64&lt;&gt;"yes"),1,0)</f>
        <v/>
      </c>
      <c r="X64" s="3" t="inlineStr"/>
      <c r="Y64" s="5" t="inlineStr"/>
    </row>
    <row r="65">
      <c r="A65" s="2" t="n">
        <v>46215.44306712963</v>
      </c>
      <c r="B65" s="3" t="inlineStr">
        <is>
          <t>Shibu Menon</t>
        </is>
      </c>
      <c r="C65" s="3" t="inlineStr">
        <is>
          <t>+971 58 000 0064</t>
        </is>
      </c>
      <c r="D65" s="3" t="inlineStr">
        <is>
          <t>shibu.menon64@example.com</t>
        </is>
      </c>
      <c r="E65" s="3" t="inlineStr">
        <is>
          <t>Abu Dhabi</t>
        </is>
      </c>
      <c r="F65" s="3" t="inlineStr">
        <is>
          <t>tire_service</t>
        </is>
      </c>
      <c r="G65" s="3" t="inlineStr">
        <is>
          <t>en</t>
        </is>
      </c>
      <c r="H65" s="3" t="inlineStr">
        <is>
          <t>link</t>
        </is>
      </c>
      <c r="I65" s="4" t="n">
        <v>5</v>
      </c>
      <c r="J65" s="4" t="n">
        <v>4</v>
      </c>
      <c r="K65" s="3" t="inlineStr">
        <is>
          <t>yes</t>
        </is>
      </c>
      <c r="L65" s="4" t="n">
        <v>10</v>
      </c>
      <c r="M65" s="5" t="inlineStr">
        <is>
          <t>I have been coming here for three years. the tyre work is always done right the first time.</t>
        </is>
      </c>
      <c r="N65" s="4" t="n">
        <v>4</v>
      </c>
      <c r="O65" s="4" t="n">
        <v>4</v>
      </c>
      <c r="P65" s="4" t="n">
        <v>5</v>
      </c>
      <c r="Q65" s="4" t="n">
        <v>5</v>
      </c>
      <c r="R65" s="4" t="n">
        <v>5</v>
      </c>
      <c r="S65" s="4" t="n">
        <v>5</v>
      </c>
      <c r="T65" s="6">
        <f>ROUND(AVERAGE(I65:J65),2)</f>
        <v/>
      </c>
      <c r="U65" s="6">
        <f>ROUND(AVERAGE(N65:S65),2)</f>
        <v/>
      </c>
      <c r="V65" s="7">
        <f>IF(L65&gt;=9,"promoter",IF(L65&gt;=7,"passive","detractor"))</f>
        <v/>
      </c>
      <c r="W65" s="8">
        <f>IF(OR(V65="detractor",K65&lt;&gt;"yes"),1,0)</f>
        <v/>
      </c>
      <c r="X65" s="3" t="inlineStr"/>
      <c r="Y65" s="5" t="inlineStr"/>
    </row>
    <row r="66">
      <c r="A66" s="2" t="n">
        <v>46215.4471412037</v>
      </c>
      <c r="B66" s="3" t="inlineStr">
        <is>
          <t>Prakash Kamau</t>
        </is>
      </c>
      <c r="C66" s="3" t="inlineStr">
        <is>
          <t>+971 52 000 0065</t>
        </is>
      </c>
      <c r="D66" s="3" t="inlineStr">
        <is>
          <t>prakash.kamau65@example.com</t>
        </is>
      </c>
      <c r="E66" s="3" t="inlineStr">
        <is>
          <t>Al Ain</t>
        </is>
      </c>
      <c r="F66" s="3" t="inlineStr">
        <is>
          <t>oil_change</t>
        </is>
      </c>
      <c r="G66" s="3" t="inlineStr">
        <is>
          <t>en</t>
        </is>
      </c>
      <c r="H66" s="3" t="inlineStr">
        <is>
          <t>qr</t>
        </is>
      </c>
      <c r="I66" s="4" t="n">
        <v>4</v>
      </c>
      <c r="J66" s="4" t="n">
        <v>3</v>
      </c>
      <c r="K66" s="3" t="inlineStr">
        <is>
          <t>yes</t>
        </is>
      </c>
      <c r="L66" s="4" t="n">
        <v>8</v>
      </c>
      <c r="M66" s="5" t="inlineStr">
        <is>
          <t>No complaints about the quality, but the reception area gets very crowded in the morning.</t>
        </is>
      </c>
      <c r="N66" s="4" t="n">
        <v>5</v>
      </c>
      <c r="O66" s="4" t="n">
        <v>4</v>
      </c>
      <c r="P66" s="4" t="n">
        <v>5</v>
      </c>
      <c r="Q66" s="4" t="n">
        <v>4</v>
      </c>
      <c r="R66" s="4" t="n">
        <v>4</v>
      </c>
      <c r="S66" s="4" t="n">
        <v>3</v>
      </c>
      <c r="T66" s="6">
        <f>ROUND(AVERAGE(I66:J66),2)</f>
        <v/>
      </c>
      <c r="U66" s="6">
        <f>ROUND(AVERAGE(N66:S66),2)</f>
        <v/>
      </c>
      <c r="V66" s="7">
        <f>IF(L66&gt;=9,"promoter",IF(L66&gt;=7,"passive","detractor"))</f>
        <v/>
      </c>
      <c r="W66" s="8">
        <f>IF(OR(V66="detractor",K66&lt;&gt;"yes"),1,0)</f>
        <v/>
      </c>
      <c r="X66" s="3" t="inlineStr"/>
      <c r="Y66" s="5" t="inlineStr"/>
    </row>
    <row r="67">
      <c r="A67" s="2" t="n">
        <v>46215.46405092593</v>
      </c>
      <c r="B67" s="3" t="inlineStr">
        <is>
          <t>Marife Sullivan</t>
        </is>
      </c>
      <c r="C67" s="3" t="inlineStr">
        <is>
          <t>+971 50 000 0066</t>
        </is>
      </c>
      <c r="D67" s="3" t="inlineStr">
        <is>
          <t>marife.sullivan66@example.com</t>
        </is>
      </c>
      <c r="E67" s="3" t="inlineStr">
        <is>
          <t>Abu Dhabi</t>
        </is>
      </c>
      <c r="F67" s="3" t="inlineStr">
        <is>
          <t>bodywork</t>
        </is>
      </c>
      <c r="G67" s="3" t="inlineStr">
        <is>
          <t>en</t>
        </is>
      </c>
      <c r="H67" s="3" t="inlineStr">
        <is>
          <t>link</t>
        </is>
      </c>
      <c r="I67" s="4" t="n">
        <v>5</v>
      </c>
      <c r="J67" s="4" t="n">
        <v>5</v>
      </c>
      <c r="K67" s="3" t="inlineStr">
        <is>
          <t>yes</t>
        </is>
      </c>
      <c r="L67" s="4" t="n">
        <v>9</v>
      </c>
      <c r="M67" s="5" t="inlineStr">
        <is>
          <t>Very clean workshop and the staff actually listen. the body repair was finished ahead of the time they promised.</t>
        </is>
      </c>
      <c r="N67" s="4" t="n">
        <v>5</v>
      </c>
      <c r="O67" s="4" t="n">
        <v>4</v>
      </c>
      <c r="P67" s="4" t="n">
        <v>4</v>
      </c>
      <c r="Q67" s="4" t="n">
        <v>5</v>
      </c>
      <c r="R67" s="4" t="n">
        <v>5</v>
      </c>
      <c r="S67" s="4" t="n">
        <v>5</v>
      </c>
      <c r="T67" s="6">
        <f>ROUND(AVERAGE(I67:J67),2)</f>
        <v/>
      </c>
      <c r="U67" s="6">
        <f>ROUND(AVERAGE(N67:S67),2)</f>
        <v/>
      </c>
      <c r="V67" s="7">
        <f>IF(L67&gt;=9,"promoter",IF(L67&gt;=7,"passive","detractor"))</f>
        <v/>
      </c>
      <c r="W67" s="8">
        <f>IF(OR(V67="detractor",K67&lt;&gt;"yes"),1,0)</f>
        <v/>
      </c>
      <c r="X67" s="3" t="inlineStr"/>
      <c r="Y67" s="5" t="inlineStr"/>
    </row>
    <row r="68">
      <c r="A68" s="2" t="n">
        <v>46215.59738425926</v>
      </c>
      <c r="B68" s="3" t="inlineStr">
        <is>
          <t>Shibu Joseph</t>
        </is>
      </c>
      <c r="C68" s="3" t="inlineStr">
        <is>
          <t>+971 50 000 0067</t>
        </is>
      </c>
      <c r="D68" s="3" t="inlineStr">
        <is>
          <t>shibu.joseph67@example.com</t>
        </is>
      </c>
      <c r="E68" s="3" t="inlineStr">
        <is>
          <t>Sharjah</t>
        </is>
      </c>
      <c r="F68" s="3" t="inlineStr">
        <is>
          <t>brake_repair</t>
        </is>
      </c>
      <c r="G68" s="3" t="inlineStr">
        <is>
          <t>en</t>
        </is>
      </c>
      <c r="H68" s="3" t="inlineStr">
        <is>
          <t>link</t>
        </is>
      </c>
      <c r="I68" s="4" t="n">
        <v>4</v>
      </c>
      <c r="J68" s="4" t="n">
        <v>4</v>
      </c>
      <c r="K68" s="3" t="inlineStr">
        <is>
          <t>yes</t>
        </is>
      </c>
      <c r="L68" s="4" t="n">
        <v>8</v>
      </c>
      <c r="M68" s="5" t="inlineStr">
        <is>
          <t>Solid work. The branch could use more staff at the service desk in the mornings.</t>
        </is>
      </c>
      <c r="N68" s="4" t="n">
        <v>4</v>
      </c>
      <c r="O68" s="4" t="n">
        <v>5</v>
      </c>
      <c r="P68" s="4" t="n">
        <v>4</v>
      </c>
      <c r="Q68" s="4" t="n">
        <v>5</v>
      </c>
      <c r="R68" s="4" t="n">
        <v>4</v>
      </c>
      <c r="S68" s="4" t="n">
        <v>4</v>
      </c>
      <c r="T68" s="6">
        <f>ROUND(AVERAGE(I68:J68),2)</f>
        <v/>
      </c>
      <c r="U68" s="6">
        <f>ROUND(AVERAGE(N68:S68),2)</f>
        <v/>
      </c>
      <c r="V68" s="7">
        <f>IF(L68&gt;=9,"promoter",IF(L68&gt;=7,"passive","detractor"))</f>
        <v/>
      </c>
      <c r="W68" s="8">
        <f>IF(OR(V68="detractor",K68&lt;&gt;"yes"),1,0)</f>
        <v/>
      </c>
      <c r="X68" s="3" t="inlineStr"/>
      <c r="Y68" s="5" t="inlineStr"/>
    </row>
    <row r="69">
      <c r="A69" s="2" t="n">
        <v>46215.6121875</v>
      </c>
      <c r="B69" s="3" t="inlineStr">
        <is>
          <t>Hassan Al Falasi</t>
        </is>
      </c>
      <c r="C69" s="3" t="inlineStr">
        <is>
          <t>+971 58 000 0068</t>
        </is>
      </c>
      <c r="D69" s="3" t="inlineStr">
        <is>
          <t>hassan.al.falasi68@example.com</t>
        </is>
      </c>
      <c r="E69" s="3" t="inlineStr">
        <is>
          <t>Al Ain</t>
        </is>
      </c>
      <c r="F69" s="3" t="inlineStr">
        <is>
          <t>tire_service</t>
        </is>
      </c>
      <c r="G69" s="3" t="inlineStr">
        <is>
          <t>en</t>
        </is>
      </c>
      <c r="H69" s="3" t="inlineStr">
        <is>
          <t>link</t>
        </is>
      </c>
      <c r="I69" s="4" t="n">
        <v>4</v>
      </c>
      <c r="J69" s="4" t="n">
        <v>4</v>
      </c>
      <c r="K69" s="3" t="inlineStr">
        <is>
          <t>yes</t>
        </is>
      </c>
      <c r="L69" s="4" t="n">
        <v>7</v>
      </c>
      <c r="M69" s="5" t="inlineStr">
        <is>
          <t>Reasonable. I would use them again for the tyre work but would confirm the price in writing first.</t>
        </is>
      </c>
      <c r="N69" s="4" t="n">
        <v>5</v>
      </c>
      <c r="O69" s="4" t="n">
        <v>4</v>
      </c>
      <c r="P69" s="4" t="n">
        <v>4</v>
      </c>
      <c r="Q69" s="4" t="n">
        <v>4</v>
      </c>
      <c r="R69" s="4" t="n">
        <v>4</v>
      </c>
      <c r="S69" s="4" t="n">
        <v>4</v>
      </c>
      <c r="T69" s="6">
        <f>ROUND(AVERAGE(I69:J69),2)</f>
        <v/>
      </c>
      <c r="U69" s="6">
        <f>ROUND(AVERAGE(N69:S69),2)</f>
        <v/>
      </c>
      <c r="V69" s="7">
        <f>IF(L69&gt;=9,"promoter",IF(L69&gt;=7,"passive","detractor"))</f>
        <v/>
      </c>
      <c r="W69" s="8">
        <f>IF(OR(V69="detractor",K69&lt;&gt;"yes"),1,0)</f>
        <v/>
      </c>
      <c r="X69" s="3" t="inlineStr"/>
      <c r="Y69" s="5" t="inlineStr"/>
    </row>
    <row r="70">
      <c r="A70" s="2" t="n">
        <v>46215.74990740741</v>
      </c>
      <c r="B70" s="3" t="inlineStr">
        <is>
          <t>Ibrahim Malik</t>
        </is>
      </c>
      <c r="C70" s="3" t="inlineStr">
        <is>
          <t>+971 50 000 0069</t>
        </is>
      </c>
      <c r="D70" s="3" t="inlineStr">
        <is>
          <t>ibrahim.malik69@example.com</t>
        </is>
      </c>
      <c r="E70" s="3" t="inlineStr">
        <is>
          <t>Abu Dhabi</t>
        </is>
      </c>
      <c r="F70" s="3" t="inlineStr">
        <is>
          <t>diagnostic</t>
        </is>
      </c>
      <c r="G70" s="3" t="inlineStr">
        <is>
          <t>en</t>
        </is>
      </c>
      <c r="H70" s="3" t="inlineStr">
        <is>
          <t>link</t>
        </is>
      </c>
      <c r="I70" s="4" t="n">
        <v>4</v>
      </c>
      <c r="J70" s="4" t="n">
        <v>4</v>
      </c>
      <c r="K70" s="3" t="inlineStr">
        <is>
          <t>yes</t>
        </is>
      </c>
      <c r="L70" s="4" t="n">
        <v>8</v>
      </c>
      <c r="M70" s="5" t="inlineStr">
        <is>
          <t>the diagnostic check is fine. Parking at the branch is difficult when you arrive after nine.</t>
        </is>
      </c>
      <c r="N70" s="4" t="n">
        <v>4</v>
      </c>
      <c r="O70" s="4" t="n">
        <v>5</v>
      </c>
      <c r="P70" s="4" t="n">
        <v>4</v>
      </c>
      <c r="Q70" s="4" t="n">
        <v>4</v>
      </c>
      <c r="R70" s="4" t="n">
        <v>4</v>
      </c>
      <c r="S70" s="4" t="n">
        <v>5</v>
      </c>
      <c r="T70" s="6">
        <f>ROUND(AVERAGE(I70:J70),2)</f>
        <v/>
      </c>
      <c r="U70" s="6">
        <f>ROUND(AVERAGE(N70:S70),2)</f>
        <v/>
      </c>
      <c r="V70" s="7">
        <f>IF(L70&gt;=9,"promoter",IF(L70&gt;=7,"passive","detractor"))</f>
        <v/>
      </c>
      <c r="W70" s="8">
        <f>IF(OR(V70="detractor",K70&lt;&gt;"yes"),1,0)</f>
        <v/>
      </c>
      <c r="X70" s="3" t="inlineStr"/>
      <c r="Y70" s="5" t="inlineStr"/>
    </row>
    <row r="71">
      <c r="A71" s="2" t="n">
        <v>46215.78079861111</v>
      </c>
      <c r="B71" s="3" t="inlineStr">
        <is>
          <t>Peter Reyes</t>
        </is>
      </c>
      <c r="C71" s="3" t="inlineStr">
        <is>
          <t>+971 50 000 0070</t>
        </is>
      </c>
      <c r="D71" s="3" t="inlineStr">
        <is>
          <t>peter.reyes70@example.com</t>
        </is>
      </c>
      <c r="E71" s="3" t="inlineStr">
        <is>
          <t>Abu Dhabi</t>
        </is>
      </c>
      <c r="F71" s="3" t="inlineStr">
        <is>
          <t>general_maintenance</t>
        </is>
      </c>
      <c r="G71" s="3" t="inlineStr">
        <is>
          <t>en</t>
        </is>
      </c>
      <c r="H71" s="3" t="inlineStr">
        <is>
          <t>portal</t>
        </is>
      </c>
      <c r="I71" s="4" t="n">
        <v>5</v>
      </c>
      <c r="J71" s="4" t="n">
        <v>5</v>
      </c>
      <c r="K71" s="3" t="inlineStr">
        <is>
          <t>yes</t>
        </is>
      </c>
      <c r="L71" s="4" t="n">
        <v>10</v>
      </c>
      <c r="M71" s="5" t="inlineStr">
        <is>
          <t>Car came back washed and vacuumed. Small thing, but it shows they care.</t>
        </is>
      </c>
      <c r="N71" s="4" t="n">
        <v>5</v>
      </c>
      <c r="O71" s="4" t="n">
        <v>5</v>
      </c>
      <c r="P71" s="4" t="n">
        <v>5</v>
      </c>
      <c r="Q71" s="4" t="n">
        <v>4</v>
      </c>
      <c r="R71" s="4" t="n">
        <v>5</v>
      </c>
      <c r="S71" s="4" t="n">
        <v>4</v>
      </c>
      <c r="T71" s="6">
        <f>ROUND(AVERAGE(I71:J71),2)</f>
        <v/>
      </c>
      <c r="U71" s="6">
        <f>ROUND(AVERAGE(N71:S71),2)</f>
        <v/>
      </c>
      <c r="V71" s="7">
        <f>IF(L71&gt;=9,"promoter",IF(L71&gt;=7,"passive","detractor"))</f>
        <v/>
      </c>
      <c r="W71" s="8">
        <f>IF(OR(V71="detractor",K71&lt;&gt;"yes"),1,0)</f>
        <v/>
      </c>
      <c r="X71" s="3" t="inlineStr"/>
      <c r="Y71" s="5" t="inlineStr"/>
    </row>
    <row r="72">
      <c r="A72" s="2" t="n">
        <v>46215.78950231482</v>
      </c>
      <c r="B72" s="3" t="inlineStr">
        <is>
          <t>Divya Nair</t>
        </is>
      </c>
      <c r="C72" s="3" t="inlineStr">
        <is>
          <t>+971 56 000 0071</t>
        </is>
      </c>
      <c r="D72" s="3" t="inlineStr">
        <is>
          <t>divya.nair71@example.com</t>
        </is>
      </c>
      <c r="E72" s="3" t="inlineStr">
        <is>
          <t>Sharjah</t>
        </is>
      </c>
      <c r="F72" s="3" t="inlineStr">
        <is>
          <t>tire_service</t>
        </is>
      </c>
      <c r="G72" s="3" t="inlineStr">
        <is>
          <t>en</t>
        </is>
      </c>
      <c r="H72" s="3" t="inlineStr">
        <is>
          <t>link</t>
        </is>
      </c>
      <c r="I72" s="4" t="n">
        <v>4</v>
      </c>
      <c r="J72" s="4" t="n">
        <v>4</v>
      </c>
      <c r="K72" s="3" t="inlineStr">
        <is>
          <t>partially</t>
        </is>
      </c>
      <c r="L72" s="4" t="n">
        <v>7</v>
      </c>
      <c r="M72" s="5" t="inlineStr">
        <is>
          <t>Work was correct but it took two visits to sort out completely.</t>
        </is>
      </c>
      <c r="N72" s="4" t="n">
        <v>3</v>
      </c>
      <c r="O72" s="4" t="n">
        <v>3</v>
      </c>
      <c r="P72" s="4" t="n">
        <v>3</v>
      </c>
      <c r="Q72" s="4" t="n">
        <v>3</v>
      </c>
      <c r="R72" s="4" t="n">
        <v>3</v>
      </c>
      <c r="S72" s="4" t="n">
        <v>4</v>
      </c>
      <c r="T72" s="6">
        <f>ROUND(AVERAGE(I72:J72),2)</f>
        <v/>
      </c>
      <c r="U72" s="6">
        <f>ROUND(AVERAGE(N72:S72),2)</f>
        <v/>
      </c>
      <c r="V72" s="7">
        <f>IF(L72&gt;=9,"promoter",IF(L72&gt;=7,"passive","detractor"))</f>
        <v/>
      </c>
      <c r="W72" s="8">
        <f>IF(OR(V72="detractor",K72&lt;&gt;"yes"),1,0)</f>
        <v/>
      </c>
      <c r="X72" s="2" t="n">
        <v>46218.58116898148</v>
      </c>
      <c r="Y72" s="5" t="inlineStr">
        <is>
          <t>Customer confirmed the repeat fault was fixed on the return visit and is satisfied now.</t>
        </is>
      </c>
    </row>
    <row r="73">
      <c r="A73" s="2" t="n">
        <v>46215.80171296297</v>
      </c>
      <c r="B73" s="3" t="inlineStr">
        <is>
          <t>Bilal Al Falasi</t>
        </is>
      </c>
      <c r="C73" s="3" t="inlineStr">
        <is>
          <t>+971 55 000 0072</t>
        </is>
      </c>
      <c r="D73" s="3" t="inlineStr">
        <is>
          <t>bilal.al.falasi72@example.com</t>
        </is>
      </c>
      <c r="E73" s="3" t="inlineStr">
        <is>
          <t>Dubai</t>
        </is>
      </c>
      <c r="F73" s="3" t="inlineStr">
        <is>
          <t>oil_change</t>
        </is>
      </c>
      <c r="G73" s="3" t="inlineStr">
        <is>
          <t>en</t>
        </is>
      </c>
      <c r="H73" s="3" t="inlineStr">
        <is>
          <t>link</t>
        </is>
      </c>
      <c r="I73" s="4" t="n">
        <v>3</v>
      </c>
      <c r="J73" s="4" t="n">
        <v>3</v>
      </c>
      <c r="K73" s="3" t="inlineStr">
        <is>
          <t>partially</t>
        </is>
      </c>
      <c r="L73" s="4" t="n">
        <v>5</v>
      </c>
      <c r="M73" s="5" t="inlineStr">
        <is>
          <t>Same warning light came on two days after the oil and filter change. Had to bring it back twice.</t>
        </is>
      </c>
      <c r="N73" s="4" t="n">
        <v>1</v>
      </c>
      <c r="O73" s="4" t="n">
        <v>2</v>
      </c>
      <c r="P73" s="4" t="n">
        <v>3</v>
      </c>
      <c r="Q73" s="4" t="n">
        <v>2</v>
      </c>
      <c r="R73" s="4" t="n">
        <v>2</v>
      </c>
      <c r="S73" s="4" t="n">
        <v>1</v>
      </c>
      <c r="T73" s="6">
        <f>ROUND(AVERAGE(I73:J73),2)</f>
        <v/>
      </c>
      <c r="U73" s="6">
        <f>ROUND(AVERAGE(N73:S73),2)</f>
        <v/>
      </c>
      <c r="V73" s="7">
        <f>IF(L73&gt;=9,"promoter",IF(L73&gt;=7,"passive","detractor"))</f>
        <v/>
      </c>
      <c r="W73" s="8">
        <f>IF(OR(V73="detractor",K73&lt;&gt;"yes"),1,0)</f>
        <v/>
      </c>
      <c r="X73" s="2" t="n">
        <v>46218.42671296297</v>
      </c>
      <c r="Y73" s="5" t="inlineStr">
        <is>
          <t>Discussed the quote variance with the customer; the extra labour line was waived.</t>
        </is>
      </c>
    </row>
    <row r="74">
      <c r="A74" s="2" t="n">
        <v>46215.8466550926</v>
      </c>
      <c r="B74" s="3" t="inlineStr">
        <is>
          <t>David Villanueva</t>
        </is>
      </c>
      <c r="C74" s="3" t="inlineStr">
        <is>
          <t>+971 56 000 0073</t>
        </is>
      </c>
      <c r="D74" s="3" t="inlineStr">
        <is>
          <t>david.villanueva73@example.com</t>
        </is>
      </c>
      <c r="E74" s="3" t="inlineStr">
        <is>
          <t>Abu Dhabi</t>
        </is>
      </c>
      <c r="F74" s="3" t="inlineStr">
        <is>
          <t>other</t>
        </is>
      </c>
      <c r="G74" s="3" t="inlineStr">
        <is>
          <t>en</t>
        </is>
      </c>
      <c r="H74" s="3" t="inlineStr">
        <is>
          <t>link</t>
        </is>
      </c>
      <c r="I74" s="4" t="n">
        <v>5</v>
      </c>
      <c r="J74" s="4" t="n">
        <v>5</v>
      </c>
      <c r="K74" s="3" t="inlineStr">
        <is>
          <t>partially</t>
        </is>
      </c>
      <c r="L74" s="4" t="n">
        <v>10</v>
      </c>
      <c r="M74" s="5" t="inlineStr">
        <is>
          <t>Waiting area is comfortable and the estimate they gave was accurate to the dirham.</t>
        </is>
      </c>
      <c r="N74" s="4" t="n">
        <v>5</v>
      </c>
      <c r="O74" s="4" t="n">
        <v>5</v>
      </c>
      <c r="P74" s="4" t="n">
        <v>5</v>
      </c>
      <c r="Q74" s="4" t="n">
        <v>5</v>
      </c>
      <c r="R74" s="4" t="n">
        <v>4</v>
      </c>
      <c r="S74" s="4" t="n">
        <v>5</v>
      </c>
      <c r="T74" s="6">
        <f>ROUND(AVERAGE(I74:J74),2)</f>
        <v/>
      </c>
      <c r="U74" s="6">
        <f>ROUND(AVERAGE(N74:S74),2)</f>
        <v/>
      </c>
      <c r="V74" s="7">
        <f>IF(L74&gt;=9,"promoter",IF(L74&gt;=7,"passive","detractor"))</f>
        <v/>
      </c>
      <c r="W74" s="8">
        <f>IF(OR(V74="detractor",K74&lt;&gt;"yes"),1,0)</f>
        <v/>
      </c>
      <c r="X74" s="3" t="inlineStr"/>
      <c r="Y74" s="5" t="inlineStr"/>
    </row>
    <row r="75">
      <c r="A75" s="2" t="n">
        <v>46216.37011574074</v>
      </c>
      <c r="B75" s="3" t="inlineStr">
        <is>
          <t>Manoj Krishnan</t>
        </is>
      </c>
      <c r="C75" s="3" t="inlineStr">
        <is>
          <t>+971 54 000 0074</t>
        </is>
      </c>
      <c r="D75" s="3" t="inlineStr">
        <is>
          <t>manoj.krishnan74@example.com</t>
        </is>
      </c>
      <c r="E75" s="3" t="inlineStr">
        <is>
          <t>Dubai</t>
        </is>
      </c>
      <c r="F75" s="3" t="inlineStr">
        <is>
          <t>engine_repair</t>
        </is>
      </c>
      <c r="G75" s="3" t="inlineStr">
        <is>
          <t>en</t>
        </is>
      </c>
      <c r="H75" s="3" t="inlineStr">
        <is>
          <t>link</t>
        </is>
      </c>
      <c r="I75" s="4" t="n">
        <v>4</v>
      </c>
      <c r="J75" s="4" t="n">
        <v>5</v>
      </c>
      <c r="K75" s="3" t="inlineStr">
        <is>
          <t>yes</t>
        </is>
      </c>
      <c r="L75" s="4" t="n">
        <v>9</v>
      </c>
      <c r="M75" s="5" t="inlineStr">
        <is>
          <t>Staff are polite and the workmanship on the engine repair is solid. No issues since.</t>
        </is>
      </c>
      <c r="N75" s="4" t="n">
        <v>5</v>
      </c>
      <c r="O75" s="4" t="n">
        <v>5</v>
      </c>
      <c r="P75" s="4" t="n">
        <v>4</v>
      </c>
      <c r="Q75" s="4" t="n">
        <v>5</v>
      </c>
      <c r="R75" s="4" t="n">
        <v>5</v>
      </c>
      <c r="S75" s="4" t="n">
        <v>5</v>
      </c>
      <c r="T75" s="6">
        <f>ROUND(AVERAGE(I75:J75),2)</f>
        <v/>
      </c>
      <c r="U75" s="6">
        <f>ROUND(AVERAGE(N75:S75),2)</f>
        <v/>
      </c>
      <c r="V75" s="7">
        <f>IF(L75&gt;=9,"promoter",IF(L75&gt;=7,"passive","detractor"))</f>
        <v/>
      </c>
      <c r="W75" s="8">
        <f>IF(OR(V75="detractor",K75&lt;&gt;"yes"),1,0)</f>
        <v/>
      </c>
      <c r="X75" s="3" t="inlineStr"/>
      <c r="Y75" s="5" t="inlineStr"/>
    </row>
    <row r="76">
      <c r="A76" s="2" t="n">
        <v>46216.38847222222</v>
      </c>
      <c r="B76" s="3" t="inlineStr">
        <is>
          <t>Tariq Kumar</t>
        </is>
      </c>
      <c r="C76" s="3" t="inlineStr">
        <is>
          <t>+971 58 000 0075</t>
        </is>
      </c>
      <c r="D76" s="3" t="inlineStr">
        <is>
          <t>tariq.kumar75@example.com</t>
        </is>
      </c>
      <c r="E76" s="3" t="inlineStr">
        <is>
          <t>Al Ain</t>
        </is>
      </c>
      <c r="F76" s="3" t="inlineStr">
        <is>
          <t>electrical</t>
        </is>
      </c>
      <c r="G76" s="3" t="inlineStr">
        <is>
          <t>en</t>
        </is>
      </c>
      <c r="H76" s="3" t="inlineStr">
        <is>
          <t>link</t>
        </is>
      </c>
      <c r="I76" s="4" t="n">
        <v>4</v>
      </c>
      <c r="J76" s="4" t="n">
        <v>3</v>
      </c>
      <c r="K76" s="3" t="inlineStr">
        <is>
          <t>yes</t>
        </is>
      </c>
      <c r="L76" s="4" t="n">
        <v>8</v>
      </c>
      <c r="M76" s="5" t="inlineStr">
        <is>
          <t>Quality is there. The appointment I booked still meant a 40-minute wait.</t>
        </is>
      </c>
      <c r="N76" s="4" t="n">
        <v>4</v>
      </c>
      <c r="O76" s="4" t="n">
        <v>3</v>
      </c>
      <c r="P76" s="4" t="n">
        <v>4</v>
      </c>
      <c r="Q76" s="4" t="n">
        <v>4</v>
      </c>
      <c r="R76" s="4" t="n">
        <v>4</v>
      </c>
      <c r="S76" s="4" t="n">
        <v>4</v>
      </c>
      <c r="T76" s="6">
        <f>ROUND(AVERAGE(I76:J76),2)</f>
        <v/>
      </c>
      <c r="U76" s="6">
        <f>ROUND(AVERAGE(N76:S76),2)</f>
        <v/>
      </c>
      <c r="V76" s="7">
        <f>IF(L76&gt;=9,"promoter",IF(L76&gt;=7,"passive","detractor"))</f>
        <v/>
      </c>
      <c r="W76" s="8">
        <f>IF(OR(V76="detractor",K76&lt;&gt;"yes"),1,0)</f>
        <v/>
      </c>
      <c r="X76" s="3" t="inlineStr"/>
      <c r="Y76" s="5" t="inlineStr"/>
    </row>
    <row r="77">
      <c r="A77" s="2" t="n">
        <v>46216.39364583333</v>
      </c>
      <c r="B77" s="3" t="inlineStr">
        <is>
          <t>Ariel Al Suwaidi</t>
        </is>
      </c>
      <c r="C77" s="3" t="inlineStr">
        <is>
          <t>+971 54 000 0076</t>
        </is>
      </c>
      <c r="D77" s="3" t="inlineStr">
        <is>
          <t>ariel.al.suwaidi76@example.com</t>
        </is>
      </c>
      <c r="E77" s="3" t="inlineStr">
        <is>
          <t>Dubai</t>
        </is>
      </c>
      <c r="F77" s="3" t="inlineStr">
        <is>
          <t>bodywork</t>
        </is>
      </c>
      <c r="G77" s="3" t="inlineStr">
        <is>
          <t>en</t>
        </is>
      </c>
      <c r="H77" s="3" t="inlineStr">
        <is>
          <t>portal</t>
        </is>
      </c>
      <c r="I77" s="4" t="n">
        <v>5</v>
      </c>
      <c r="J77" s="4" t="n">
        <v>5</v>
      </c>
      <c r="K77" s="3" t="inlineStr">
        <is>
          <t>yes</t>
        </is>
      </c>
      <c r="L77" s="4" t="n">
        <v>10</v>
      </c>
      <c r="M77" s="5" t="inlineStr">
        <is>
          <t>Good warranty on the parts and they registered it for me without being asked.</t>
        </is>
      </c>
      <c r="N77" s="4" t="n">
        <v>5</v>
      </c>
      <c r="O77" s="4" t="n">
        <v>5</v>
      </c>
      <c r="P77" s="4" t="n">
        <v>4</v>
      </c>
      <c r="Q77" s="4" t="n">
        <v>5</v>
      </c>
      <c r="R77" s="4" t="n">
        <v>5</v>
      </c>
      <c r="S77" s="4" t="n">
        <v>5</v>
      </c>
      <c r="T77" s="6">
        <f>ROUND(AVERAGE(I77:J77),2)</f>
        <v/>
      </c>
      <c r="U77" s="6">
        <f>ROUND(AVERAGE(N77:S77),2)</f>
        <v/>
      </c>
      <c r="V77" s="7">
        <f>IF(L77&gt;=9,"promoter",IF(L77&gt;=7,"passive","detractor"))</f>
        <v/>
      </c>
      <c r="W77" s="8">
        <f>IF(OR(V77="detractor",K77&lt;&gt;"yes"),1,0)</f>
        <v/>
      </c>
      <c r="X77" s="3" t="inlineStr"/>
      <c r="Y77" s="5" t="inlineStr"/>
    </row>
    <row r="78">
      <c r="A78" s="2" t="n">
        <v>46216.41465277778</v>
      </c>
      <c r="B78" s="3" t="inlineStr">
        <is>
          <t>Joselito Okonkwo</t>
        </is>
      </c>
      <c r="C78" s="3" t="inlineStr">
        <is>
          <t>+971 58 000 0077</t>
        </is>
      </c>
      <c r="D78" s="3" t="inlineStr">
        <is>
          <t>joselito.okonkwo77@example.com</t>
        </is>
      </c>
      <c r="E78" s="3" t="inlineStr">
        <is>
          <t>Abu Dhabi</t>
        </is>
      </c>
      <c r="F78" s="3" t="inlineStr">
        <is>
          <t>electrical</t>
        </is>
      </c>
      <c r="G78" s="3" t="inlineStr">
        <is>
          <t>en</t>
        </is>
      </c>
      <c r="H78" s="3" t="inlineStr">
        <is>
          <t>link</t>
        </is>
      </c>
      <c r="I78" s="4" t="n">
        <v>4</v>
      </c>
      <c r="J78" s="4" t="n">
        <v>3</v>
      </c>
      <c r="K78" s="3" t="inlineStr">
        <is>
          <t>yes</t>
        </is>
      </c>
      <c r="L78" s="4" t="n">
        <v>7</v>
      </c>
      <c r="M78" s="5" t="inlineStr">
        <is>
          <t>Good workmanship. Communication could be better — I had to call twice for an update.</t>
        </is>
      </c>
      <c r="N78" s="4" t="n">
        <v>3</v>
      </c>
      <c r="O78" s="4" t="n">
        <v>4</v>
      </c>
      <c r="P78" s="4" t="n">
        <v>5</v>
      </c>
      <c r="Q78" s="4" t="n">
        <v>5</v>
      </c>
      <c r="R78" s="4" t="n">
        <v>3</v>
      </c>
      <c r="S78" s="4" t="n">
        <v>4</v>
      </c>
      <c r="T78" s="6">
        <f>ROUND(AVERAGE(I78:J78),2)</f>
        <v/>
      </c>
      <c r="U78" s="6">
        <f>ROUND(AVERAGE(N78:S78),2)</f>
        <v/>
      </c>
      <c r="V78" s="7">
        <f>IF(L78&gt;=9,"promoter",IF(L78&gt;=7,"passive","detractor"))</f>
        <v/>
      </c>
      <c r="W78" s="8">
        <f>IF(OR(V78="detractor",K78&lt;&gt;"yes"),1,0)</f>
        <v/>
      </c>
      <c r="X78" s="3" t="inlineStr"/>
      <c r="Y78" s="5" t="inlineStr"/>
    </row>
    <row r="79">
      <c r="A79" s="2" t="n">
        <v>46216.45616898148</v>
      </c>
      <c r="B79" s="3" t="inlineStr">
        <is>
          <t>Sarah Harrison</t>
        </is>
      </c>
      <c r="C79" s="3" t="inlineStr">
        <is>
          <t>+971 56 000 0078</t>
        </is>
      </c>
      <c r="D79" s="3" t="inlineStr">
        <is>
          <t>sarah.harrison78@example.com</t>
        </is>
      </c>
      <c r="E79" s="3" t="inlineStr">
        <is>
          <t>Sharjah</t>
        </is>
      </c>
      <c r="F79" s="3" t="inlineStr">
        <is>
          <t>engine_repair</t>
        </is>
      </c>
      <c r="G79" s="3" t="inlineStr">
        <is>
          <t>en</t>
        </is>
      </c>
      <c r="H79" s="3" t="inlineStr">
        <is>
          <t>link</t>
        </is>
      </c>
      <c r="I79" s="4" t="n">
        <v>5</v>
      </c>
      <c r="J79" s="4" t="n">
        <v>5</v>
      </c>
      <c r="K79" s="3" t="inlineStr">
        <is>
          <t>yes</t>
        </is>
      </c>
      <c r="L79" s="4" t="n">
        <v>10</v>
      </c>
      <c r="M79" s="5" t="inlineStr">
        <is>
          <t>Best experience I have had with a garage in the UAE. the engine repair done properly and on budget.</t>
        </is>
      </c>
      <c r="N79" s="4" t="n">
        <v>4</v>
      </c>
      <c r="O79" s="4" t="n">
        <v>4</v>
      </c>
      <c r="P79" s="4" t="n">
        <v>4</v>
      </c>
      <c r="Q79" s="4" t="n">
        <v>4</v>
      </c>
      <c r="R79" s="4" t="n">
        <v>3</v>
      </c>
      <c r="S79" s="4" t="n">
        <v>4</v>
      </c>
      <c r="T79" s="6">
        <f>ROUND(AVERAGE(I79:J79),2)</f>
        <v/>
      </c>
      <c r="U79" s="6">
        <f>ROUND(AVERAGE(N79:S79),2)</f>
        <v/>
      </c>
      <c r="V79" s="7">
        <f>IF(L79&gt;=9,"promoter",IF(L79&gt;=7,"passive","detractor"))</f>
        <v/>
      </c>
      <c r="W79" s="8">
        <f>IF(OR(V79="detractor",K79&lt;&gt;"yes"),1,0)</f>
        <v/>
      </c>
      <c r="X79" s="3" t="inlineStr"/>
      <c r="Y79" s="5" t="inlineStr"/>
    </row>
    <row r="80">
      <c r="A80" s="2" t="n">
        <v>46216.49027777778</v>
      </c>
      <c r="B80" s="3" t="inlineStr">
        <is>
          <t>Arun Abebe</t>
        </is>
      </c>
      <c r="C80" s="3" t="inlineStr">
        <is>
          <t>+971 54 000 0079</t>
        </is>
      </c>
      <c r="D80" s="3" t="inlineStr">
        <is>
          <t>arun.abebe79@example.com</t>
        </is>
      </c>
      <c r="E80" s="3" t="inlineStr">
        <is>
          <t>Abu Dhabi</t>
        </is>
      </c>
      <c r="F80" s="3" t="inlineStr">
        <is>
          <t>bodywork</t>
        </is>
      </c>
      <c r="G80" s="3" t="inlineStr">
        <is>
          <t>en</t>
        </is>
      </c>
      <c r="H80" s="3" t="inlineStr">
        <is>
          <t>link</t>
        </is>
      </c>
      <c r="I80" s="4" t="n">
        <v>5</v>
      </c>
      <c r="J80" s="4" t="n">
        <v>4</v>
      </c>
      <c r="K80" s="3" t="inlineStr">
        <is>
          <t>yes</t>
        </is>
      </c>
      <c r="L80" s="4" t="n">
        <v>10</v>
      </c>
      <c r="M80" s="5" t="inlineStr">
        <is>
          <t>Very satisfied — the invoice was itemised and every line was explained.</t>
        </is>
      </c>
      <c r="N80" s="4" t="n">
        <v>4</v>
      </c>
      <c r="O80" s="4" t="n">
        <v>5</v>
      </c>
      <c r="P80" s="4" t="n">
        <v>5</v>
      </c>
      <c r="Q80" s="4" t="n">
        <v>5</v>
      </c>
      <c r="R80" s="4" t="n">
        <v>5</v>
      </c>
      <c r="S80" s="4" t="n">
        <v>4</v>
      </c>
      <c r="T80" s="6">
        <f>ROUND(AVERAGE(I80:J80),2)</f>
        <v/>
      </c>
      <c r="U80" s="6">
        <f>ROUND(AVERAGE(N80:S80),2)</f>
        <v/>
      </c>
      <c r="V80" s="7">
        <f>IF(L80&gt;=9,"promoter",IF(L80&gt;=7,"passive","detractor"))</f>
        <v/>
      </c>
      <c r="W80" s="8">
        <f>IF(OR(V80="detractor",K80&lt;&gt;"yes"),1,0)</f>
        <v/>
      </c>
      <c r="X80" s="3" t="inlineStr"/>
      <c r="Y80" s="5" t="inlineStr"/>
    </row>
    <row r="81">
      <c r="A81" s="2" t="n">
        <v>46216.68623842593</v>
      </c>
      <c r="B81" s="3" t="inlineStr">
        <is>
          <t>Sunil Villanueva</t>
        </is>
      </c>
      <c r="C81" s="3" t="inlineStr">
        <is>
          <t>+971 50 000 0080</t>
        </is>
      </c>
      <c r="D81" s="3" t="inlineStr">
        <is>
          <t>sunil.villanueva80@example.com</t>
        </is>
      </c>
      <c r="E81" s="3" t="inlineStr">
        <is>
          <t>Abu Dhabi</t>
        </is>
      </c>
      <c r="F81" s="3" t="inlineStr">
        <is>
          <t>brake_repair</t>
        </is>
      </c>
      <c r="G81" s="3" t="inlineStr">
        <is>
          <t>en</t>
        </is>
      </c>
      <c r="H81" s="3" t="inlineStr">
        <is>
          <t>portal</t>
        </is>
      </c>
      <c r="I81" s="4" t="n">
        <v>5</v>
      </c>
      <c r="J81" s="4" t="n">
        <v>5</v>
      </c>
      <c r="K81" s="3" t="inlineStr">
        <is>
          <t>partially</t>
        </is>
      </c>
      <c r="L81" s="4" t="n">
        <v>10</v>
      </c>
      <c r="M81" s="5" t="inlineStr">
        <is>
          <t>The advisor remembered my car's history and flagged something due next service. Genuinely helpful.</t>
        </is>
      </c>
      <c r="N81" s="4" t="n">
        <v>5</v>
      </c>
      <c r="O81" s="4" t="n">
        <v>5</v>
      </c>
      <c r="P81" s="4" t="n">
        <v>5</v>
      </c>
      <c r="Q81" s="4" t="n">
        <v>5</v>
      </c>
      <c r="R81" s="4" t="n">
        <v>5</v>
      </c>
      <c r="S81" s="4" t="n">
        <v>5</v>
      </c>
      <c r="T81" s="6">
        <f>ROUND(AVERAGE(I81:J81),2)</f>
        <v/>
      </c>
      <c r="U81" s="6">
        <f>ROUND(AVERAGE(N81:S81),2)</f>
        <v/>
      </c>
      <c r="V81" s="7">
        <f>IF(L81&gt;=9,"promoter",IF(L81&gt;=7,"passive","detractor"))</f>
        <v/>
      </c>
      <c r="W81" s="8">
        <f>IF(OR(V81="detractor",K81&lt;&gt;"yes"),1,0)</f>
        <v/>
      </c>
      <c r="X81" s="2" t="n">
        <v>46218.76957175926</v>
      </c>
      <c r="Y81" s="5" t="inlineStr">
        <is>
          <t>Discussed the quote variance with the customer; the extra labour line was waived.</t>
        </is>
      </c>
    </row>
    <row r="82">
      <c r="A82" s="2" t="n">
        <v>46216.713125</v>
      </c>
      <c r="B82" s="3" t="inlineStr">
        <is>
          <t>Shibu Kamau</t>
        </is>
      </c>
      <c r="C82" s="3" t="inlineStr">
        <is>
          <t>+971 55 000 0081</t>
        </is>
      </c>
      <c r="D82" s="3" t="inlineStr">
        <is>
          <t>shibu.kamau81@example.com</t>
        </is>
      </c>
      <c r="E82" s="3" t="inlineStr">
        <is>
          <t>Abu Dhabi</t>
        </is>
      </c>
      <c r="F82" s="3" t="inlineStr">
        <is>
          <t>tire_service</t>
        </is>
      </c>
      <c r="G82" s="3" t="inlineStr">
        <is>
          <t>en</t>
        </is>
      </c>
      <c r="H82" s="3" t="inlineStr">
        <is>
          <t>link</t>
        </is>
      </c>
      <c r="I82" s="4" t="n">
        <v>4</v>
      </c>
      <c r="J82" s="4" t="n">
        <v>4</v>
      </c>
      <c r="K82" s="3" t="inlineStr">
        <is>
          <t>yes</t>
        </is>
      </c>
      <c r="L82" s="4" t="n">
        <v>10</v>
      </c>
      <c r="M82" s="5" t="inlineStr">
        <is>
          <t>They sent me photos of the old parts before replacing anything. That kind of transparency is rare.</t>
        </is>
      </c>
      <c r="N82" s="4" t="n">
        <v>5</v>
      </c>
      <c r="O82" s="4" t="n">
        <v>5</v>
      </c>
      <c r="P82" s="4" t="n">
        <v>5</v>
      </c>
      <c r="Q82" s="4" t="n">
        <v>5</v>
      </c>
      <c r="R82" s="4" t="n">
        <v>5</v>
      </c>
      <c r="S82" s="4" t="n">
        <v>4</v>
      </c>
      <c r="T82" s="6">
        <f>ROUND(AVERAGE(I82:J82),2)</f>
        <v/>
      </c>
      <c r="U82" s="6">
        <f>ROUND(AVERAGE(N82:S82),2)</f>
        <v/>
      </c>
      <c r="V82" s="7">
        <f>IF(L82&gt;=9,"promoter",IF(L82&gt;=7,"passive","detractor"))</f>
        <v/>
      </c>
      <c r="W82" s="8">
        <f>IF(OR(V82="detractor",K82&lt;&gt;"yes"),1,0)</f>
        <v/>
      </c>
      <c r="X82" s="3" t="inlineStr"/>
      <c r="Y82" s="5" t="inlineStr"/>
    </row>
    <row r="83">
      <c r="A83" s="2" t="n">
        <v>46217.36761574074</v>
      </c>
      <c r="B83" s="3" t="inlineStr">
        <is>
          <t>Naeem Abebe</t>
        </is>
      </c>
      <c r="C83" s="3" t="inlineStr">
        <is>
          <t>+971 58 000 0082</t>
        </is>
      </c>
      <c r="D83" s="3" t="inlineStr">
        <is>
          <t>naeem.abebe82@example.com</t>
        </is>
      </c>
      <c r="E83" s="3" t="inlineStr">
        <is>
          <t>Dubai</t>
        </is>
      </c>
      <c r="F83" s="3" t="inlineStr">
        <is>
          <t>tire_service</t>
        </is>
      </c>
      <c r="G83" s="3" t="inlineStr">
        <is>
          <t>en</t>
        </is>
      </c>
      <c r="H83" s="3" t="inlineStr">
        <is>
          <t>link</t>
        </is>
      </c>
      <c r="I83" s="4" t="n">
        <v>5</v>
      </c>
      <c r="J83" s="4" t="n">
        <v>5</v>
      </c>
      <c r="K83" s="3" t="inlineStr">
        <is>
          <t>yes</t>
        </is>
      </c>
      <c r="L83" s="4" t="n">
        <v>10</v>
      </c>
      <c r="M83" s="5" t="inlineStr">
        <is>
          <t>Reception called me twice with updates without me having to chase them.</t>
        </is>
      </c>
      <c r="N83" s="4" t="n">
        <v>5</v>
      </c>
      <c r="O83" s="4" t="n">
        <v>5</v>
      </c>
      <c r="P83" s="4" t="n">
        <v>5</v>
      </c>
      <c r="Q83" s="4" t="n">
        <v>5</v>
      </c>
      <c r="R83" s="4" t="n">
        <v>4</v>
      </c>
      <c r="S83" s="4" t="n">
        <v>5</v>
      </c>
      <c r="T83" s="6">
        <f>ROUND(AVERAGE(I83:J83),2)</f>
        <v/>
      </c>
      <c r="U83" s="6">
        <f>ROUND(AVERAGE(N83:S83),2)</f>
        <v/>
      </c>
      <c r="V83" s="7">
        <f>IF(L83&gt;=9,"promoter",IF(L83&gt;=7,"passive","detractor"))</f>
        <v/>
      </c>
      <c r="W83" s="8">
        <f>IF(OR(V83="detractor",K83&lt;&gt;"yes"),1,0)</f>
        <v/>
      </c>
      <c r="X83" s="3" t="inlineStr"/>
      <c r="Y83" s="5" t="inlineStr"/>
    </row>
    <row r="84">
      <c r="A84" s="2" t="n">
        <v>46217.45357638889</v>
      </c>
      <c r="B84" s="3" t="inlineStr">
        <is>
          <t>Ahmed Al Zaabi</t>
        </is>
      </c>
      <c r="C84" s="3" t="inlineStr">
        <is>
          <t>+971 50 000 0083</t>
        </is>
      </c>
      <c r="D84" s="3" t="inlineStr">
        <is>
          <t>ahmed.al.zaabi83@example.com</t>
        </is>
      </c>
      <c r="E84" s="3" t="inlineStr">
        <is>
          <t>Dubai</t>
        </is>
      </c>
      <c r="F84" s="3" t="inlineStr">
        <is>
          <t>general_maintenance</t>
        </is>
      </c>
      <c r="G84" s="3" t="inlineStr">
        <is>
          <t>en</t>
        </is>
      </c>
      <c r="H84" s="3" t="inlineStr">
        <is>
          <t>portal</t>
        </is>
      </c>
      <c r="I84" s="4" t="n">
        <v>1</v>
      </c>
      <c r="J84" s="4" t="n">
        <v>2</v>
      </c>
      <c r="K84" s="3" t="inlineStr">
        <is>
          <t>partially</t>
        </is>
      </c>
      <c r="L84" s="4" t="n">
        <v>2</v>
      </c>
      <c r="M84" s="5" t="inlineStr">
        <is>
          <t>Paid for the routine service and the fault returned immediately. Still waiting for a resolution.</t>
        </is>
      </c>
      <c r="N84" s="4" t="n">
        <v>3</v>
      </c>
      <c r="O84" s="4" t="n">
        <v>3</v>
      </c>
      <c r="P84" s="4" t="n">
        <v>3</v>
      </c>
      <c r="Q84" s="4" t="n">
        <v>4</v>
      </c>
      <c r="R84" s="4" t="n">
        <v>3</v>
      </c>
      <c r="S84" s="4" t="n">
        <v>3</v>
      </c>
      <c r="T84" s="6">
        <f>ROUND(AVERAGE(I84:J84),2)</f>
        <v/>
      </c>
      <c r="U84" s="6">
        <f>ROUND(AVERAGE(N84:S84),2)</f>
        <v/>
      </c>
      <c r="V84" s="7">
        <f>IF(L84&gt;=9,"promoter",IF(L84&gt;=7,"passive","detractor"))</f>
        <v/>
      </c>
      <c r="W84" s="8">
        <f>IF(OR(V84="detractor",K84&lt;&gt;"yes"),1,0)</f>
        <v/>
      </c>
      <c r="X84" s="3" t="inlineStr"/>
      <c r="Y84" s="5" t="inlineStr"/>
    </row>
    <row r="85">
      <c r="A85" s="2" t="n">
        <v>46217.63221064815</v>
      </c>
      <c r="B85" s="3" t="inlineStr">
        <is>
          <t>Naveen Al Mansoori</t>
        </is>
      </c>
      <c r="C85" s="3" t="inlineStr">
        <is>
          <t>+971 55 000 0084</t>
        </is>
      </c>
      <c r="D85" s="3" t="inlineStr">
        <is>
          <t>naveen.al.mansoori84@example.com</t>
        </is>
      </c>
      <c r="E85" s="3" t="inlineStr">
        <is>
          <t>Dubai</t>
        </is>
      </c>
      <c r="F85" s="3" t="inlineStr">
        <is>
          <t>brake_repair</t>
        </is>
      </c>
      <c r="G85" s="3" t="inlineStr">
        <is>
          <t>en</t>
        </is>
      </c>
      <c r="H85" s="3" t="inlineStr">
        <is>
          <t>qr</t>
        </is>
      </c>
      <c r="I85" s="4" t="n">
        <v>4</v>
      </c>
      <c r="J85" s="4" t="n">
        <v>4</v>
      </c>
      <c r="K85" s="3" t="inlineStr">
        <is>
          <t>yes</t>
        </is>
      </c>
      <c r="L85" s="4" t="n">
        <v>8</v>
      </c>
      <c r="M85" s="5" t="inlineStr">
        <is>
          <t>The car is running well. The advisor was hard to reach on the phone during the day.</t>
        </is>
      </c>
      <c r="N85" s="4" t="n">
        <v>5</v>
      </c>
      <c r="O85" s="4" t="n">
        <v>4</v>
      </c>
      <c r="P85" s="4" t="n">
        <v>4</v>
      </c>
      <c r="Q85" s="4" t="n">
        <v>4</v>
      </c>
      <c r="R85" s="4" t="n">
        <v>4</v>
      </c>
      <c r="S85" s="4" t="n">
        <v>3</v>
      </c>
      <c r="T85" s="6">
        <f>ROUND(AVERAGE(I85:J85),2)</f>
        <v/>
      </c>
      <c r="U85" s="6">
        <f>ROUND(AVERAGE(N85:S85),2)</f>
        <v/>
      </c>
      <c r="V85" s="7">
        <f>IF(L85&gt;=9,"promoter",IF(L85&gt;=7,"passive","detractor"))</f>
        <v/>
      </c>
      <c r="W85" s="8">
        <f>IF(OR(V85="detractor",K85&lt;&gt;"yes"),1,0)</f>
        <v/>
      </c>
      <c r="X85" s="3" t="inlineStr"/>
      <c r="Y85" s="5" t="inlineStr"/>
    </row>
    <row r="86">
      <c r="A86" s="2" t="n">
        <v>46218.46938657408</v>
      </c>
      <c r="B86" s="3" t="inlineStr">
        <is>
          <t>Naeem Malik</t>
        </is>
      </c>
      <c r="C86" s="3" t="inlineStr">
        <is>
          <t>+971 52 000 0085</t>
        </is>
      </c>
      <c r="D86" s="3" t="inlineStr">
        <is>
          <t>naeem.malik85@example.com</t>
        </is>
      </c>
      <c r="E86" s="3" t="inlineStr">
        <is>
          <t>Abu Dhabi</t>
        </is>
      </c>
      <c r="F86" s="3" t="inlineStr">
        <is>
          <t>bodywork</t>
        </is>
      </c>
      <c r="G86" s="3" t="inlineStr">
        <is>
          <t>en</t>
        </is>
      </c>
      <c r="H86" s="3" t="inlineStr">
        <is>
          <t>link</t>
        </is>
      </c>
      <c r="I86" s="4" t="n">
        <v>4</v>
      </c>
      <c r="J86" s="4" t="n">
        <v>4</v>
      </c>
      <c r="K86" s="3" t="inlineStr">
        <is>
          <t>yes</t>
        </is>
      </c>
      <c r="L86" s="4" t="n">
        <v>7</v>
      </c>
      <c r="M86" s="5" t="inlineStr">
        <is>
          <t>They fixed it, but the first estimate and the second estimate were quite different.</t>
        </is>
      </c>
      <c r="N86" s="4" t="n">
        <v>3</v>
      </c>
      <c r="O86" s="4" t="n">
        <v>4</v>
      </c>
      <c r="P86" s="4" t="n">
        <v>4</v>
      </c>
      <c r="Q86" s="4" t="n">
        <v>5</v>
      </c>
      <c r="R86" s="4" t="n">
        <v>3</v>
      </c>
      <c r="S86" s="4" t="n">
        <v>3</v>
      </c>
      <c r="T86" s="6">
        <f>ROUND(AVERAGE(I86:J86),2)</f>
        <v/>
      </c>
      <c r="U86" s="6">
        <f>ROUND(AVERAGE(N86:S86),2)</f>
        <v/>
      </c>
      <c r="V86" s="7">
        <f>IF(L86&gt;=9,"promoter",IF(L86&gt;=7,"passive","detractor"))</f>
        <v/>
      </c>
      <c r="W86" s="8">
        <f>IF(OR(V86="detractor",K86&lt;&gt;"yes"),1,0)</f>
        <v/>
      </c>
      <c r="X86" s="3" t="inlineStr"/>
      <c r="Y86" s="5" t="inlineStr"/>
    </row>
    <row r="87">
      <c r="A87" s="2" t="n">
        <v>46218.50837962963</v>
      </c>
      <c r="B87" s="3" t="inlineStr">
        <is>
          <t>Aisha Malik</t>
        </is>
      </c>
      <c r="C87" s="3" t="inlineStr">
        <is>
          <t>+971 54 000 0086</t>
        </is>
      </c>
      <c r="D87" s="3" t="inlineStr">
        <is>
          <t>aisha.malik86@example.com</t>
        </is>
      </c>
      <c r="E87" s="3" t="inlineStr">
        <is>
          <t>Abu Dhabi</t>
        </is>
      </c>
      <c r="F87" s="3" t="inlineStr">
        <is>
          <t>tire_service</t>
        </is>
      </c>
      <c r="G87" s="3" t="inlineStr">
        <is>
          <t>en</t>
        </is>
      </c>
      <c r="H87" s="3" t="inlineStr">
        <is>
          <t>link</t>
        </is>
      </c>
      <c r="I87" s="4" t="n">
        <v>3</v>
      </c>
      <c r="J87" s="4" t="n">
        <v>2</v>
      </c>
      <c r="K87" s="3" t="inlineStr">
        <is>
          <t>partially</t>
        </is>
      </c>
      <c r="L87" s="4" t="n">
        <v>6</v>
      </c>
      <c r="M87" s="5" t="inlineStr">
        <is>
          <t>Car was returned with a warning light that was not there when I dropped it off.</t>
        </is>
      </c>
      <c r="N87" s="4" t="n">
        <v>1</v>
      </c>
      <c r="O87" s="4" t="n">
        <v>2</v>
      </c>
      <c r="P87" s="4" t="n">
        <v>1</v>
      </c>
      <c r="Q87" s="4" t="n">
        <v>1</v>
      </c>
      <c r="R87" s="4" t="n">
        <v>2</v>
      </c>
      <c r="S87" s="4" t="n">
        <v>1</v>
      </c>
      <c r="T87" s="6">
        <f>ROUND(AVERAGE(I87:J87),2)</f>
        <v/>
      </c>
      <c r="U87" s="6">
        <f>ROUND(AVERAGE(N87:S87),2)</f>
        <v/>
      </c>
      <c r="V87" s="7">
        <f>IF(L87&gt;=9,"promoter",IF(L87&gt;=7,"passive","detractor"))</f>
        <v/>
      </c>
      <c r="W87" s="8">
        <f>IF(OR(V87="detractor",K87&lt;&gt;"yes"),1,0)</f>
        <v/>
      </c>
      <c r="X87" s="3" t="inlineStr"/>
      <c r="Y87" s="5" t="inlineStr"/>
    </row>
    <row r="88">
      <c r="A88" s="2" t="n">
        <v>46218.72025462963</v>
      </c>
      <c r="B88" s="3" t="inlineStr">
        <is>
          <t>Faisal Cruz</t>
        </is>
      </c>
      <c r="C88" s="3" t="inlineStr">
        <is>
          <t>+971 58 000 0087</t>
        </is>
      </c>
      <c r="D88" s="3" t="inlineStr">
        <is>
          <t>faisal.cruz87@example.com</t>
        </is>
      </c>
      <c r="E88" s="3" t="inlineStr">
        <is>
          <t>Sharjah</t>
        </is>
      </c>
      <c r="F88" s="3" t="inlineStr">
        <is>
          <t>general_maintenance</t>
        </is>
      </c>
      <c r="G88" s="3" t="inlineStr">
        <is>
          <t>en</t>
        </is>
      </c>
      <c r="H88" s="3" t="inlineStr">
        <is>
          <t>staff</t>
        </is>
      </c>
      <c r="I88" s="4" t="n">
        <v>4</v>
      </c>
      <c r="J88" s="4" t="n">
        <v>4</v>
      </c>
      <c r="K88" s="3" t="inlineStr">
        <is>
          <t>yes</t>
        </is>
      </c>
      <c r="L88" s="4" t="n">
        <v>7</v>
      </c>
      <c r="M88" s="5" t="inlineStr">
        <is>
          <t>Average experience. Nothing went wrong, nothing stood out either.</t>
        </is>
      </c>
      <c r="N88" s="4" t="n">
        <v>2</v>
      </c>
      <c r="O88" s="4" t="n">
        <v>2</v>
      </c>
      <c r="P88" s="4" t="n">
        <v>3</v>
      </c>
      <c r="Q88" s="4" t="n">
        <v>3</v>
      </c>
      <c r="R88" s="4" t="n">
        <v>3</v>
      </c>
      <c r="S88" s="4" t="n">
        <v>3</v>
      </c>
      <c r="T88" s="6">
        <f>ROUND(AVERAGE(I88:J88),2)</f>
        <v/>
      </c>
      <c r="U88" s="6">
        <f>ROUND(AVERAGE(N88:S88),2)</f>
        <v/>
      </c>
      <c r="V88" s="7">
        <f>IF(L88&gt;=9,"promoter",IF(L88&gt;=7,"passive","detractor"))</f>
        <v/>
      </c>
      <c r="W88" s="8">
        <f>IF(OR(V88="detractor",K88&lt;&gt;"yes"),1,0)</f>
        <v/>
      </c>
      <c r="X88" s="3" t="inlineStr"/>
      <c r="Y88" s="5" t="inlineStr"/>
    </row>
    <row r="89">
      <c r="A89" s="2" t="n">
        <v>46218.75252314815</v>
      </c>
      <c r="B89" s="3" t="inlineStr">
        <is>
          <t>Vijay Varghese</t>
        </is>
      </c>
      <c r="C89" s="3" t="inlineStr">
        <is>
          <t>+971 54 000 0088</t>
        </is>
      </c>
      <c r="D89" s="3" t="inlineStr">
        <is>
          <t>vijay.varghese88@example.com</t>
        </is>
      </c>
      <c r="E89" s="3" t="inlineStr">
        <is>
          <t>Abu Dhabi</t>
        </is>
      </c>
      <c r="F89" s="3" t="inlineStr">
        <is>
          <t>brake_repair</t>
        </is>
      </c>
      <c r="G89" s="3" t="inlineStr">
        <is>
          <t>en</t>
        </is>
      </c>
      <c r="H89" s="3" t="inlineStr">
        <is>
          <t>link</t>
        </is>
      </c>
      <c r="I89" s="4" t="n">
        <v>4</v>
      </c>
      <c r="J89" s="4" t="n">
        <v>5</v>
      </c>
      <c r="K89" s="3" t="inlineStr">
        <is>
          <t>yes</t>
        </is>
      </c>
      <c r="L89" s="4" t="n">
        <v>9</v>
      </c>
      <c r="M89" s="5" t="inlineStr">
        <is>
          <t>Fair pricing compared to the agency, and the quality of the brake job was just as good.</t>
        </is>
      </c>
      <c r="N89" s="4" t="n">
        <v>5</v>
      </c>
      <c r="O89" s="4" t="n">
        <v>4</v>
      </c>
      <c r="P89" s="4" t="n">
        <v>5</v>
      </c>
      <c r="Q89" s="4" t="n">
        <v>5</v>
      </c>
      <c r="R89" s="4" t="n">
        <v>5</v>
      </c>
      <c r="S89" s="4" t="n">
        <v>5</v>
      </c>
      <c r="T89" s="6">
        <f>ROUND(AVERAGE(I89:J89),2)</f>
        <v/>
      </c>
      <c r="U89" s="6">
        <f>ROUND(AVERAGE(N89:S89),2)</f>
        <v/>
      </c>
      <c r="V89" s="7">
        <f>IF(L89&gt;=9,"promoter",IF(L89&gt;=7,"passive","detractor"))</f>
        <v/>
      </c>
      <c r="W89" s="8">
        <f>IF(OR(V89="detractor",K89&lt;&gt;"yes"),1,0)</f>
        <v/>
      </c>
      <c r="X89" s="3" t="inlineStr"/>
      <c r="Y89" s="5" t="inlineStr"/>
    </row>
    <row r="90">
      <c r="A90" s="2" t="n">
        <v>46219.38196759259</v>
      </c>
      <c r="B90" s="3" t="inlineStr">
        <is>
          <t>Emma Harrison</t>
        </is>
      </c>
      <c r="C90" s="3" t="inlineStr">
        <is>
          <t>+971 52 000 0089</t>
        </is>
      </c>
      <c r="D90" s="3" t="inlineStr">
        <is>
          <t>emma.harrison89@example.com</t>
        </is>
      </c>
      <c r="E90" s="3" t="inlineStr">
        <is>
          <t>Dubai</t>
        </is>
      </c>
      <c r="F90" s="3" t="inlineStr">
        <is>
          <t>transmission</t>
        </is>
      </c>
      <c r="G90" s="3" t="inlineStr">
        <is>
          <t>en</t>
        </is>
      </c>
      <c r="H90" s="3" t="inlineStr">
        <is>
          <t>link</t>
        </is>
      </c>
      <c r="I90" s="4" t="n">
        <v>5</v>
      </c>
      <c r="J90" s="4" t="n">
        <v>4</v>
      </c>
      <c r="K90" s="3" t="inlineStr">
        <is>
          <t>yes</t>
        </is>
      </c>
      <c r="L90" s="4" t="n">
        <v>10</v>
      </c>
      <c r="M90" s="5" t="inlineStr">
        <is>
          <t>Price, quality and communication were all good. I will not go anywhere else.</t>
        </is>
      </c>
      <c r="N90" s="4" t="n">
        <v>5</v>
      </c>
      <c r="O90" s="4" t="n">
        <v>5</v>
      </c>
      <c r="P90" s="4" t="n">
        <v>5</v>
      </c>
      <c r="Q90" s="4" t="n">
        <v>4</v>
      </c>
      <c r="R90" s="4" t="n">
        <v>5</v>
      </c>
      <c r="S90" s="4" t="n">
        <v>5</v>
      </c>
      <c r="T90" s="6">
        <f>ROUND(AVERAGE(I90:J90),2)</f>
        <v/>
      </c>
      <c r="U90" s="6">
        <f>ROUND(AVERAGE(N90:S90),2)</f>
        <v/>
      </c>
      <c r="V90" s="7">
        <f>IF(L90&gt;=9,"promoter",IF(L90&gt;=7,"passive","detractor"))</f>
        <v/>
      </c>
      <c r="W90" s="8">
        <f>IF(OR(V90="detractor",K90&lt;&gt;"yes"),1,0)</f>
        <v/>
      </c>
      <c r="X90" s="3" t="inlineStr"/>
      <c r="Y90" s="5" t="inlineStr"/>
    </row>
    <row r="91">
      <c r="A91" s="2" t="n">
        <v>46219.41916666667</v>
      </c>
      <c r="B91" s="3" t="inlineStr">
        <is>
          <t>Sajan Qureshi</t>
        </is>
      </c>
      <c r="C91" s="3" t="inlineStr">
        <is>
          <t>+971 58 000 0090</t>
        </is>
      </c>
      <c r="D91" s="3" t="inlineStr">
        <is>
          <t>sajan.qureshi90@example.com</t>
        </is>
      </c>
      <c r="E91" s="3" t="inlineStr">
        <is>
          <t>Al Ain</t>
        </is>
      </c>
      <c r="F91" s="3" t="inlineStr">
        <is>
          <t>general_maintenance</t>
        </is>
      </c>
      <c r="G91" s="3" t="inlineStr">
        <is>
          <t>en</t>
        </is>
      </c>
      <c r="H91" s="3" t="inlineStr">
        <is>
          <t>link</t>
        </is>
      </c>
      <c r="I91" s="4" t="n">
        <v>5</v>
      </c>
      <c r="J91" s="4" t="n">
        <v>5</v>
      </c>
      <c r="K91" s="3" t="inlineStr">
        <is>
          <t>yes</t>
        </is>
      </c>
      <c r="L91" s="4" t="n">
        <v>10</v>
      </c>
      <c r="M91" s="5" t="inlineStr">
        <is>
          <t>Very professional from the first call to handover. Nothing to complain about.</t>
        </is>
      </c>
      <c r="N91" s="4" t="n">
        <v>5</v>
      </c>
      <c r="O91" s="4" t="n">
        <v>5</v>
      </c>
      <c r="P91" s="4" t="n">
        <v>5</v>
      </c>
      <c r="Q91" s="4" t="n">
        <v>4</v>
      </c>
      <c r="R91" s="4" t="n">
        <v>5</v>
      </c>
      <c r="S91" s="4" t="n">
        <v>5</v>
      </c>
      <c r="T91" s="6">
        <f>ROUND(AVERAGE(I91:J91),2)</f>
        <v/>
      </c>
      <c r="U91" s="6">
        <f>ROUND(AVERAGE(N91:S91),2)</f>
        <v/>
      </c>
      <c r="V91" s="7">
        <f>IF(L91&gt;=9,"promoter",IF(L91&gt;=7,"passive","detractor"))</f>
        <v/>
      </c>
      <c r="W91" s="8">
        <f>IF(OR(V91="detractor",K91&lt;&gt;"yes"),1,0)</f>
        <v/>
      </c>
      <c r="X91" s="3" t="inlineStr"/>
      <c r="Y91" s="5" t="inlineStr"/>
    </row>
    <row r="92">
      <c r="A92" s="2" t="n">
        <v>46219.43771990741</v>
      </c>
      <c r="B92" s="3" t="inlineStr">
        <is>
          <t>Priya Al Mansoori</t>
        </is>
      </c>
      <c r="C92" s="3" t="inlineStr">
        <is>
          <t>+971 50 000 0091</t>
        </is>
      </c>
      <c r="D92" s="3" t="inlineStr">
        <is>
          <t>priya.al.mansoori91@example.com</t>
        </is>
      </c>
      <c r="E92" s="3" t="inlineStr">
        <is>
          <t>Al Ain</t>
        </is>
      </c>
      <c r="F92" s="3" t="inlineStr">
        <is>
          <t>engine_repair</t>
        </is>
      </c>
      <c r="G92" s="3" t="inlineStr">
        <is>
          <t>en</t>
        </is>
      </c>
      <c r="H92" s="3" t="inlineStr">
        <is>
          <t>link</t>
        </is>
      </c>
      <c r="I92" s="4" t="n">
        <v>5</v>
      </c>
      <c r="J92" s="4" t="n">
        <v>5</v>
      </c>
      <c r="K92" s="3" t="inlineStr">
        <is>
          <t>yes</t>
        </is>
      </c>
      <c r="L92" s="4" t="n">
        <v>10</v>
      </c>
      <c r="M92" s="5" t="inlineStr">
        <is>
          <t>Booked in the morning and picked the car up the same evening — the engine repair was done properly and the price matched the quote.</t>
        </is>
      </c>
      <c r="N92" s="4" t="n">
        <v>5</v>
      </c>
      <c r="O92" s="4" t="n">
        <v>5</v>
      </c>
      <c r="P92" s="4" t="n">
        <v>5</v>
      </c>
      <c r="Q92" s="4" t="n">
        <v>5</v>
      </c>
      <c r="R92" s="4" t="n">
        <v>4</v>
      </c>
      <c r="S92" s="4" t="n">
        <v>4</v>
      </c>
      <c r="T92" s="6">
        <f>ROUND(AVERAGE(I92:J92),2)</f>
        <v/>
      </c>
      <c r="U92" s="6">
        <f>ROUND(AVERAGE(N92:S92),2)</f>
        <v/>
      </c>
      <c r="V92" s="7">
        <f>IF(L92&gt;=9,"promoter",IF(L92&gt;=7,"passive","detractor"))</f>
        <v/>
      </c>
      <c r="W92" s="8">
        <f>IF(OR(V92="detractor",K92&lt;&gt;"yes"),1,0)</f>
        <v/>
      </c>
      <c r="X92" s="3" t="inlineStr"/>
      <c r="Y92" s="5" t="inlineStr"/>
    </row>
    <row r="93">
      <c r="A93" s="2" t="n">
        <v>46219.56065972222</v>
      </c>
      <c r="B93" s="3" t="inlineStr">
        <is>
          <t>Yousef Al Falasi</t>
        </is>
      </c>
      <c r="C93" s="3" t="inlineStr">
        <is>
          <t>+971 56 000 0092</t>
        </is>
      </c>
      <c r="D93" s="3" t="inlineStr">
        <is>
          <t>yousef.al.falasi92@example.com</t>
        </is>
      </c>
      <c r="E93" s="3" t="inlineStr">
        <is>
          <t>Sharjah</t>
        </is>
      </c>
      <c r="F93" s="3" t="inlineStr">
        <is>
          <t>general_maintenance</t>
        </is>
      </c>
      <c r="G93" s="3" t="inlineStr">
        <is>
          <t>en</t>
        </is>
      </c>
      <c r="H93" s="3" t="inlineStr">
        <is>
          <t>link</t>
        </is>
      </c>
      <c r="I93" s="4" t="n">
        <v>3</v>
      </c>
      <c r="J93" s="4" t="n">
        <v>3</v>
      </c>
      <c r="K93" s="3" t="inlineStr">
        <is>
          <t>no</t>
        </is>
      </c>
      <c r="L93" s="4" t="n">
        <v>5</v>
      </c>
      <c r="M93" s="5" t="inlineStr">
        <is>
          <t>Charged for a part that I later found had not been replaced. Very disappointing.</t>
        </is>
      </c>
      <c r="N93" s="4" t="n">
        <v>2</v>
      </c>
      <c r="O93" s="4" t="n">
        <v>1</v>
      </c>
      <c r="P93" s="4" t="n">
        <v>2</v>
      </c>
      <c r="Q93" s="4" t="n">
        <v>1</v>
      </c>
      <c r="R93" s="4" t="n">
        <v>1</v>
      </c>
      <c r="S93" s="4" t="n">
        <v>2</v>
      </c>
      <c r="T93" s="6">
        <f>ROUND(AVERAGE(I93:J93),2)</f>
        <v/>
      </c>
      <c r="U93" s="6">
        <f>ROUND(AVERAGE(N93:S93),2)</f>
        <v/>
      </c>
      <c r="V93" s="7">
        <f>IF(L93&gt;=9,"promoter",IF(L93&gt;=7,"passive","detractor"))</f>
        <v/>
      </c>
      <c r="W93" s="8">
        <f>IF(OR(V93="detractor",K93&lt;&gt;"yes"),1,0)</f>
        <v/>
      </c>
      <c r="X93" s="2" t="n">
        <v>46222.35232638889</v>
      </c>
      <c r="Y93" s="5" t="inlineStr">
        <is>
          <t>Called the customer, apologised for the delay and booked a free re-check.</t>
        </is>
      </c>
    </row>
    <row r="94">
      <c r="A94" s="2" t="n">
        <v>46219.62650462963</v>
      </c>
      <c r="B94" s="3" t="inlineStr">
        <is>
          <t>Naveen Al Zaabi</t>
        </is>
      </c>
      <c r="C94" s="3" t="inlineStr">
        <is>
          <t>+971 50 000 0093</t>
        </is>
      </c>
      <c r="D94" s="3" t="inlineStr">
        <is>
          <t>naveen.al.zaabi93@example.com</t>
        </is>
      </c>
      <c r="E94" s="3" t="inlineStr">
        <is>
          <t>Al Ain</t>
        </is>
      </c>
      <c r="F94" s="3" t="inlineStr">
        <is>
          <t>electrical</t>
        </is>
      </c>
      <c r="G94" s="3" t="inlineStr">
        <is>
          <t>ar</t>
        </is>
      </c>
      <c r="H94" s="3" t="inlineStr">
        <is>
          <t>link</t>
        </is>
      </c>
      <c r="I94" s="4" t="n">
        <v>5</v>
      </c>
      <c r="J94" s="4" t="n">
        <v>4</v>
      </c>
      <c r="K94" s="3" t="inlineStr">
        <is>
          <t>yes</t>
        </is>
      </c>
      <c r="L94" s="4" t="n">
        <v>9</v>
      </c>
      <c r="M94" s="5" t="inlineStr">
        <is>
          <t>أفضل ورشة تعاملت معها. العمل متقن والأسعار معقولة.</t>
        </is>
      </c>
      <c r="N94" s="4" t="n">
        <v>4</v>
      </c>
      <c r="O94" s="4" t="n">
        <v>4</v>
      </c>
      <c r="P94" s="4" t="n">
        <v>3</v>
      </c>
      <c r="Q94" s="4" t="n">
        <v>4</v>
      </c>
      <c r="R94" s="4" t="n">
        <v>4</v>
      </c>
      <c r="S94" s="4" t="n">
        <v>3</v>
      </c>
      <c r="T94" s="6">
        <f>ROUND(AVERAGE(I94:J94),2)</f>
        <v/>
      </c>
      <c r="U94" s="6">
        <f>ROUND(AVERAGE(N94:S94),2)</f>
        <v/>
      </c>
      <c r="V94" s="7">
        <f>IF(L94&gt;=9,"promoter",IF(L94&gt;=7,"passive","detractor"))</f>
        <v/>
      </c>
      <c r="W94" s="8">
        <f>IF(OR(V94="detractor",K94&lt;&gt;"yes"),1,0)</f>
        <v/>
      </c>
      <c r="X94" s="3" t="inlineStr"/>
      <c r="Y94" s="5" t="inlineStr"/>
    </row>
    <row r="95">
      <c r="A95" s="2" t="n">
        <v>46219.74873842593</v>
      </c>
      <c r="B95" s="3" t="inlineStr">
        <is>
          <t>Deepak Al Hosani</t>
        </is>
      </c>
      <c r="C95" s="3" t="inlineStr">
        <is>
          <t>+971 58 000 0094</t>
        </is>
      </c>
      <c r="D95" s="3" t="inlineStr">
        <is>
          <t>deepak.al.hosani94@example.com</t>
        </is>
      </c>
      <c r="E95" s="3" t="inlineStr">
        <is>
          <t>Sharjah</t>
        </is>
      </c>
      <c r="F95" s="3" t="inlineStr">
        <is>
          <t>tire_service</t>
        </is>
      </c>
      <c r="G95" s="3" t="inlineStr">
        <is>
          <t>ar</t>
        </is>
      </c>
      <c r="H95" s="3" t="inlineStr">
        <is>
          <t>link</t>
        </is>
      </c>
      <c r="I95" s="4" t="n">
        <v>4</v>
      </c>
      <c r="J95" s="4" t="n">
        <v>4</v>
      </c>
      <c r="K95" s="3" t="inlineStr">
        <is>
          <t>yes</t>
        </is>
      </c>
      <c r="L95" s="4" t="n">
        <v>7</v>
      </c>
      <c r="M95" s="5" t="inlineStr">
        <is>
          <t>راضٍ عن الإصلاح، لكن التواصل يحتاج إلى تحسين.</t>
        </is>
      </c>
      <c r="N95" s="4" t="n">
        <v>4</v>
      </c>
      <c r="O95" s="4" t="n">
        <v>4</v>
      </c>
      <c r="P95" s="4" t="n">
        <v>5</v>
      </c>
      <c r="Q95" s="4" t="n">
        <v>4</v>
      </c>
      <c r="R95" s="4" t="n">
        <v>3</v>
      </c>
      <c r="S95" s="4" t="n">
        <v>3</v>
      </c>
      <c r="T95" s="6">
        <f>ROUND(AVERAGE(I95:J95),2)</f>
        <v/>
      </c>
      <c r="U95" s="6">
        <f>ROUND(AVERAGE(N95:S95),2)</f>
        <v/>
      </c>
      <c r="V95" s="7">
        <f>IF(L95&gt;=9,"promoter",IF(L95&gt;=7,"passive","detractor"))</f>
        <v/>
      </c>
      <c r="W95" s="8">
        <f>IF(OR(V95="detractor",K95&lt;&gt;"yes"),1,0)</f>
        <v/>
      </c>
      <c r="X95" s="3" t="inlineStr"/>
      <c r="Y95" s="5" t="inlineStr"/>
    </row>
    <row r="96">
      <c r="A96" s="2" t="n">
        <v>46219.83678240741</v>
      </c>
      <c r="B96" s="3" t="inlineStr">
        <is>
          <t>Mohammed Abebe</t>
        </is>
      </c>
      <c r="C96" s="3" t="inlineStr">
        <is>
          <t>+971 50 000 0095</t>
        </is>
      </c>
      <c r="D96" s="3" t="inlineStr">
        <is>
          <t>mohammed.abebe95@example.com</t>
        </is>
      </c>
      <c r="E96" s="3" t="inlineStr">
        <is>
          <t>Abu Dhabi</t>
        </is>
      </c>
      <c r="F96" s="3" t="inlineStr">
        <is>
          <t>electrical</t>
        </is>
      </c>
      <c r="G96" s="3" t="inlineStr">
        <is>
          <t>en</t>
        </is>
      </c>
      <c r="H96" s="3" t="inlineStr">
        <is>
          <t>link</t>
        </is>
      </c>
      <c r="I96" s="4" t="n">
        <v>4</v>
      </c>
      <c r="J96" s="4" t="n">
        <v>3</v>
      </c>
      <c r="K96" s="3" t="inlineStr">
        <is>
          <t>yes</t>
        </is>
      </c>
      <c r="L96" s="4" t="n">
        <v>7</v>
      </c>
      <c r="M96" s="5" t="inlineStr">
        <is>
          <t>Good technical work. The paperwork at collection took much longer than it needed to.</t>
        </is>
      </c>
      <c r="N96" s="4" t="n">
        <v>5</v>
      </c>
      <c r="O96" s="4" t="n">
        <v>5</v>
      </c>
      <c r="P96" s="4" t="n">
        <v>5</v>
      </c>
      <c r="Q96" s="4" t="n">
        <v>4</v>
      </c>
      <c r="R96" s="4" t="n">
        <v>4</v>
      </c>
      <c r="S96" s="4" t="n">
        <v>4</v>
      </c>
      <c r="T96" s="6">
        <f>ROUND(AVERAGE(I96:J96),2)</f>
        <v/>
      </c>
      <c r="U96" s="6">
        <f>ROUND(AVERAGE(N96:S96),2)</f>
        <v/>
      </c>
      <c r="V96" s="7">
        <f>IF(L96&gt;=9,"promoter",IF(L96&gt;=7,"passive","detractor"))</f>
        <v/>
      </c>
      <c r="W96" s="8">
        <f>IF(OR(V96="detractor",K96&lt;&gt;"yes"),1,0)</f>
        <v/>
      </c>
      <c r="X96" s="3" t="inlineStr"/>
      <c r="Y96" s="5" t="inlineStr"/>
    </row>
    <row r="97">
      <c r="A97" s="2" t="n">
        <v>46219.85445601852</v>
      </c>
      <c r="B97" s="3" t="inlineStr">
        <is>
          <t>Paul Al Zaabi</t>
        </is>
      </c>
      <c r="C97" s="3" t="inlineStr">
        <is>
          <t>+971 50 000 0096</t>
        </is>
      </c>
      <c r="D97" s="3" t="inlineStr">
        <is>
          <t>paul.al.zaabi96@example.com</t>
        </is>
      </c>
      <c r="E97" s="3" t="inlineStr">
        <is>
          <t>Abu Dhabi</t>
        </is>
      </c>
      <c r="F97" s="3" t="inlineStr">
        <is>
          <t>diagnostic</t>
        </is>
      </c>
      <c r="G97" s="3" t="inlineStr">
        <is>
          <t>en</t>
        </is>
      </c>
      <c r="H97" s="3" t="inlineStr">
        <is>
          <t>link</t>
        </is>
      </c>
      <c r="I97" s="4" t="n">
        <v>5</v>
      </c>
      <c r="J97" s="4" t="n">
        <v>4</v>
      </c>
      <c r="K97" s="3" t="inlineStr">
        <is>
          <t>yes</t>
        </is>
      </c>
      <c r="L97" s="4" t="n">
        <v>9</v>
      </c>
      <c r="M97" s="5" t="inlineStr">
        <is>
          <t>Second opinion after another garage overcharged me. Pioneer did the diagnostic check for half and it has been perfect.</t>
        </is>
      </c>
      <c r="N97" s="4" t="n">
        <v>5</v>
      </c>
      <c r="O97" s="4" t="n">
        <v>4</v>
      </c>
      <c r="P97" s="4" t="n">
        <v>5</v>
      </c>
      <c r="Q97" s="4" t="n">
        <v>5</v>
      </c>
      <c r="R97" s="4" t="n">
        <v>5</v>
      </c>
      <c r="S97" s="4" t="n">
        <v>5</v>
      </c>
      <c r="T97" s="6">
        <f>ROUND(AVERAGE(I97:J97),2)</f>
        <v/>
      </c>
      <c r="U97" s="6">
        <f>ROUND(AVERAGE(N97:S97),2)</f>
        <v/>
      </c>
      <c r="V97" s="7">
        <f>IF(L97&gt;=9,"promoter",IF(L97&gt;=7,"passive","detractor"))</f>
        <v/>
      </c>
      <c r="W97" s="8">
        <f>IF(OR(V97="detractor",K97&lt;&gt;"yes"),1,0)</f>
        <v/>
      </c>
      <c r="X97" s="3" t="inlineStr"/>
      <c r="Y97" s="5" t="inlineStr"/>
    </row>
    <row r="98">
      <c r="A98" s="2" t="n">
        <v>46220.4071412037</v>
      </c>
      <c r="B98" s="3" t="inlineStr">
        <is>
          <t>Reynaldo Al Zaabi</t>
        </is>
      </c>
      <c r="C98" s="3" t="inlineStr">
        <is>
          <t>+971 54 000 0097</t>
        </is>
      </c>
      <c r="D98" s="3" t="inlineStr">
        <is>
          <t>reynaldo.al.zaabi97@example.com</t>
        </is>
      </c>
      <c r="E98" s="3" t="inlineStr">
        <is>
          <t>Dubai</t>
        </is>
      </c>
      <c r="F98" s="3" t="inlineStr">
        <is>
          <t>oil_change</t>
        </is>
      </c>
      <c r="G98" s="3" t="inlineStr">
        <is>
          <t>en</t>
        </is>
      </c>
      <c r="H98" s="3" t="inlineStr">
        <is>
          <t>link</t>
        </is>
      </c>
      <c r="I98" s="4" t="n">
        <v>4</v>
      </c>
      <c r="J98" s="4" t="n">
        <v>5</v>
      </c>
      <c r="K98" s="3" t="inlineStr">
        <is>
          <t>partially</t>
        </is>
      </c>
      <c r="L98" s="4" t="n">
        <v>10</v>
      </c>
      <c r="M98" s="5" t="inlineStr">
        <is>
          <t>They kept the old parts to show me, explained the warranty, and answered every question.</t>
        </is>
      </c>
      <c r="N98" s="4" t="n">
        <v>4</v>
      </c>
      <c r="O98" s="4" t="n">
        <v>4</v>
      </c>
      <c r="P98" s="4" t="n">
        <v>3</v>
      </c>
      <c r="Q98" s="4" t="n">
        <v>4</v>
      </c>
      <c r="R98" s="4" t="n">
        <v>4</v>
      </c>
      <c r="S98" s="4" t="n">
        <v>3</v>
      </c>
      <c r="T98" s="6">
        <f>ROUND(AVERAGE(I98:J98),2)</f>
        <v/>
      </c>
      <c r="U98" s="6">
        <f>ROUND(AVERAGE(N98:S98),2)</f>
        <v/>
      </c>
      <c r="V98" s="7">
        <f>IF(L98&gt;=9,"promoter",IF(L98&gt;=7,"passive","detractor"))</f>
        <v/>
      </c>
      <c r="W98" s="8">
        <f>IF(OR(V98="detractor",K98&lt;&gt;"yes"),1,0)</f>
        <v/>
      </c>
      <c r="X98" s="2" t="n">
        <v>46222.69880787037</v>
      </c>
      <c r="Y98" s="5" t="inlineStr">
        <is>
          <t>Spoke to the customer, valeted the interior free of charge and apologised for the condition at handover.</t>
        </is>
      </c>
    </row>
    <row r="99">
      <c r="A99" s="2" t="n">
        <v>46220.4970949074</v>
      </c>
      <c r="B99" s="3" t="inlineStr">
        <is>
          <t>Paul Khan</t>
        </is>
      </c>
      <c r="C99" s="3" t="inlineStr">
        <is>
          <t>+971 50 000 0098</t>
        </is>
      </c>
      <c r="D99" s="3" t="inlineStr">
        <is>
          <t>paul.khan98@example.com</t>
        </is>
      </c>
      <c r="E99" s="3" t="inlineStr">
        <is>
          <t>Dubai</t>
        </is>
      </c>
      <c r="F99" s="3" t="inlineStr">
        <is>
          <t>oil_change</t>
        </is>
      </c>
      <c r="G99" s="3" t="inlineStr">
        <is>
          <t>en</t>
        </is>
      </c>
      <c r="H99" s="3" t="inlineStr">
        <is>
          <t>portal</t>
        </is>
      </c>
      <c r="I99" s="4" t="n">
        <v>4</v>
      </c>
      <c r="J99" s="4" t="n">
        <v>4</v>
      </c>
      <c r="K99" s="3" t="inlineStr">
        <is>
          <t>yes</t>
        </is>
      </c>
      <c r="L99" s="4" t="n">
        <v>10</v>
      </c>
      <c r="M99" s="5" t="inlineStr">
        <is>
          <t>WhatsApp updates through the day meant I never had to call and ask.</t>
        </is>
      </c>
      <c r="N99" s="4" t="n">
        <v>5</v>
      </c>
      <c r="O99" s="4" t="n">
        <v>5</v>
      </c>
      <c r="P99" s="4" t="n">
        <v>5</v>
      </c>
      <c r="Q99" s="4" t="n">
        <v>4</v>
      </c>
      <c r="R99" s="4" t="n">
        <v>5</v>
      </c>
      <c r="S99" s="4" t="n">
        <v>5</v>
      </c>
      <c r="T99" s="6">
        <f>ROUND(AVERAGE(I99:J99),2)</f>
        <v/>
      </c>
      <c r="U99" s="6">
        <f>ROUND(AVERAGE(N99:S99),2)</f>
        <v/>
      </c>
      <c r="V99" s="7">
        <f>IF(L99&gt;=9,"promoter",IF(L99&gt;=7,"passive","detractor"))</f>
        <v/>
      </c>
      <c r="W99" s="8">
        <f>IF(OR(V99="detractor",K99&lt;&gt;"yes"),1,0)</f>
        <v/>
      </c>
      <c r="X99" s="3" t="inlineStr"/>
      <c r="Y99" s="5" t="inlineStr"/>
    </row>
    <row r="100">
      <c r="A100" s="2" t="n">
        <v>46220.74719907407</v>
      </c>
      <c r="B100" s="3" t="inlineStr">
        <is>
          <t>Faisal Al Suwaidi</t>
        </is>
      </c>
      <c r="C100" s="3" t="inlineStr">
        <is>
          <t>+971 55 000 0099</t>
        </is>
      </c>
      <c r="D100" s="3" t="inlineStr">
        <is>
          <t>faisal.al.suwaidi99@example.com</t>
        </is>
      </c>
      <c r="E100" s="3" t="inlineStr">
        <is>
          <t>Abu Dhabi</t>
        </is>
      </c>
      <c r="F100" s="3" t="inlineStr">
        <is>
          <t>general_maintenance</t>
        </is>
      </c>
      <c r="G100" s="3" t="inlineStr">
        <is>
          <t>en</t>
        </is>
      </c>
      <c r="H100" s="3" t="inlineStr">
        <is>
          <t>qr</t>
        </is>
      </c>
      <c r="I100" s="4" t="n">
        <v>5</v>
      </c>
      <c r="J100" s="4" t="n">
        <v>4</v>
      </c>
      <c r="K100" s="3" t="inlineStr">
        <is>
          <t>yes</t>
        </is>
      </c>
      <c r="L100" s="4" t="n">
        <v>9</v>
      </c>
      <c r="M100" s="5" t="inlineStr">
        <is>
          <t>Straightforward, no upselling, and the routine service was completed a day early.</t>
        </is>
      </c>
      <c r="N100" s="4" t="n">
        <v>5</v>
      </c>
      <c r="O100" s="4" t="n">
        <v>5</v>
      </c>
      <c r="P100" s="4" t="n">
        <v>5</v>
      </c>
      <c r="Q100" s="4" t="n">
        <v>4</v>
      </c>
      <c r="R100" s="4" t="n">
        <v>5</v>
      </c>
      <c r="S100" s="4" t="n">
        <v>4</v>
      </c>
      <c r="T100" s="6">
        <f>ROUND(AVERAGE(I100:J100),2)</f>
        <v/>
      </c>
      <c r="U100" s="6">
        <f>ROUND(AVERAGE(N100:S100),2)</f>
        <v/>
      </c>
      <c r="V100" s="7">
        <f>IF(L100&gt;=9,"promoter",IF(L100&gt;=7,"passive","detractor"))</f>
        <v/>
      </c>
      <c r="W100" s="8">
        <f>IF(OR(V100="detractor",K100&lt;&gt;"yes"),1,0)</f>
        <v/>
      </c>
      <c r="X100" s="3" t="inlineStr"/>
      <c r="Y100" s="5" t="inlineStr"/>
    </row>
    <row r="101">
      <c r="A101" s="2" t="n">
        <v>46221.50324074074</v>
      </c>
      <c r="B101" s="3" t="inlineStr">
        <is>
          <t>Meera Bautista</t>
        </is>
      </c>
      <c r="C101" s="3" t="inlineStr">
        <is>
          <t>+971 58 000 0100</t>
        </is>
      </c>
      <c r="D101" s="3" t="inlineStr">
        <is>
          <t>meera.bautista100@example.com</t>
        </is>
      </c>
      <c r="E101" s="3" t="inlineStr">
        <is>
          <t>Abu Dhabi</t>
        </is>
      </c>
      <c r="F101" s="3" t="inlineStr">
        <is>
          <t>electrical</t>
        </is>
      </c>
      <c r="G101" s="3" t="inlineStr">
        <is>
          <t>en</t>
        </is>
      </c>
      <c r="H101" s="3" t="inlineStr">
        <is>
          <t>link</t>
        </is>
      </c>
      <c r="I101" s="4" t="n">
        <v>4</v>
      </c>
      <c r="J101" s="4" t="n">
        <v>5</v>
      </c>
      <c r="K101" s="3" t="inlineStr">
        <is>
          <t>yes</t>
        </is>
      </c>
      <c r="L101" s="4" t="n">
        <v>10</v>
      </c>
      <c r="M101" s="5" t="inlineStr">
        <is>
          <t>The service advisor explained exactly what the electrical fault needed and what could wait. No pressure to spend more.</t>
        </is>
      </c>
      <c r="N101" s="4" t="n">
        <v>4</v>
      </c>
      <c r="O101" s="4" t="n">
        <v>4</v>
      </c>
      <c r="P101" s="4" t="n">
        <v>4</v>
      </c>
      <c r="Q101" s="4" t="n">
        <v>4</v>
      </c>
      <c r="R101" s="4" t="n">
        <v>4</v>
      </c>
      <c r="S101" s="4" t="n">
        <v>4</v>
      </c>
      <c r="T101" s="6">
        <f>ROUND(AVERAGE(I101:J101),2)</f>
        <v/>
      </c>
      <c r="U101" s="6">
        <f>ROUND(AVERAGE(N101:S101),2)</f>
        <v/>
      </c>
      <c r="V101" s="7">
        <f>IF(L101&gt;=9,"promoter",IF(L101&gt;=7,"passive","detractor"))</f>
        <v/>
      </c>
      <c r="W101" s="8">
        <f>IF(OR(V101="detractor",K101&lt;&gt;"yes"),1,0)</f>
        <v/>
      </c>
      <c r="X101" s="3" t="inlineStr"/>
      <c r="Y101" s="5" t="inlineStr"/>
    </row>
    <row r="102">
      <c r="A102" s="2" t="n">
        <v>46221.52890046296</v>
      </c>
      <c r="B102" s="3" t="inlineStr">
        <is>
          <t>Hind Thomas</t>
        </is>
      </c>
      <c r="C102" s="3" t="inlineStr">
        <is>
          <t>+971 55 000 0101</t>
        </is>
      </c>
      <c r="D102" s="3" t="inlineStr">
        <is>
          <t>hind.thomas101@example.com</t>
        </is>
      </c>
      <c r="E102" s="3" t="inlineStr">
        <is>
          <t>Abu Dhabi</t>
        </is>
      </c>
      <c r="F102" s="3" t="inlineStr">
        <is>
          <t>oil_change</t>
        </is>
      </c>
      <c r="G102" s="3" t="inlineStr">
        <is>
          <t>en</t>
        </is>
      </c>
      <c r="H102" s="3" t="inlineStr">
        <is>
          <t>link</t>
        </is>
      </c>
      <c r="I102" s="4" t="n">
        <v>5</v>
      </c>
      <c r="J102" s="4" t="n">
        <v>5</v>
      </c>
      <c r="K102" s="3" t="inlineStr">
        <is>
          <t>yes</t>
        </is>
      </c>
      <c r="L102" s="4" t="n">
        <v>10</v>
      </c>
      <c r="M102" s="5" t="inlineStr">
        <is>
          <t>Pick-up and drop-off made it easy to get the oil and filter change done without taking leave from work.</t>
        </is>
      </c>
      <c r="N102" s="4" t="n">
        <v>4</v>
      </c>
      <c r="O102" s="4" t="n">
        <v>4</v>
      </c>
      <c r="P102" s="4" t="n">
        <v>5</v>
      </c>
      <c r="Q102" s="4" t="n">
        <v>5</v>
      </c>
      <c r="R102" s="4" t="n">
        <v>5</v>
      </c>
      <c r="S102" s="4" t="n">
        <v>5</v>
      </c>
      <c r="T102" s="6">
        <f>ROUND(AVERAGE(I102:J102),2)</f>
        <v/>
      </c>
      <c r="U102" s="6">
        <f>ROUND(AVERAGE(N102:S102),2)</f>
        <v/>
      </c>
      <c r="V102" s="7">
        <f>IF(L102&gt;=9,"promoter",IF(L102&gt;=7,"passive","detractor"))</f>
        <v/>
      </c>
      <c r="W102" s="8">
        <f>IF(OR(V102="detractor",K102&lt;&gt;"yes"),1,0)</f>
        <v/>
      </c>
      <c r="X102" s="3" t="inlineStr"/>
      <c r="Y102" s="5" t="inlineStr"/>
    </row>
    <row r="103">
      <c r="A103" s="2" t="n">
        <v>46221.54326388889</v>
      </c>
      <c r="B103" s="3" t="inlineStr">
        <is>
          <t>George Qureshi</t>
        </is>
      </c>
      <c r="C103" s="3" t="inlineStr">
        <is>
          <t>+971 52 000 0102</t>
        </is>
      </c>
      <c r="D103" s="3" t="inlineStr">
        <is>
          <t>george.qureshi102@example.com</t>
        </is>
      </c>
      <c r="E103" s="3" t="inlineStr">
        <is>
          <t>Al Ain</t>
        </is>
      </c>
      <c r="F103" s="3" t="inlineStr">
        <is>
          <t>diagnostic</t>
        </is>
      </c>
      <c r="G103" s="3" t="inlineStr">
        <is>
          <t>en</t>
        </is>
      </c>
      <c r="H103" s="3" t="inlineStr">
        <is>
          <t>link</t>
        </is>
      </c>
      <c r="I103" s="4" t="n">
        <v>3</v>
      </c>
      <c r="J103" s="4" t="n">
        <v>2</v>
      </c>
      <c r="K103" s="3" t="inlineStr">
        <is>
          <t>partially</t>
        </is>
      </c>
      <c r="L103" s="4" t="n">
        <v>6</v>
      </c>
      <c r="M103" s="5" t="inlineStr">
        <is>
          <t>Interior was left dirty with grease on the steering wheel and seat.</t>
        </is>
      </c>
      <c r="N103" s="4" t="n">
        <v>1</v>
      </c>
      <c r="O103" s="4" t="n">
        <v>2</v>
      </c>
      <c r="P103" s="4" t="n">
        <v>2</v>
      </c>
      <c r="Q103" s="4" t="n">
        <v>1</v>
      </c>
      <c r="R103" s="4" t="n">
        <v>1</v>
      </c>
      <c r="S103" s="4" t="n">
        <v>1</v>
      </c>
      <c r="T103" s="6">
        <f>ROUND(AVERAGE(I103:J103),2)</f>
        <v/>
      </c>
      <c r="U103" s="6">
        <f>ROUND(AVERAGE(N103:S103),2)</f>
        <v/>
      </c>
      <c r="V103" s="7">
        <f>IF(L103&gt;=9,"promoter",IF(L103&gt;=7,"passive","detractor"))</f>
        <v/>
      </c>
      <c r="W103" s="8">
        <f>IF(OR(V103="detractor",K103&lt;&gt;"yes"),1,0)</f>
        <v/>
      </c>
      <c r="X103" s="2" t="n">
        <v>46223.41826388889</v>
      </c>
      <c r="Y103" s="5" t="inlineStr">
        <is>
          <t>Customer confirmed the repeat fault was fixed on the return visit and is satisfied now.</t>
        </is>
      </c>
    </row>
    <row r="104">
      <c r="A104" s="2" t="n">
        <v>46221.75981481482</v>
      </c>
      <c r="B104" s="3" t="inlineStr">
        <is>
          <t>Binu Al Hosani</t>
        </is>
      </c>
      <c r="C104" s="3" t="inlineStr">
        <is>
          <t>+971 58 000 0103</t>
        </is>
      </c>
      <c r="D104" s="3" t="inlineStr">
        <is>
          <t>binu.al.hosani103@example.com</t>
        </is>
      </c>
      <c r="E104" s="3" t="inlineStr">
        <is>
          <t>Dubai</t>
        </is>
      </c>
      <c r="F104" s="3" t="inlineStr">
        <is>
          <t>electrical</t>
        </is>
      </c>
      <c r="G104" s="3" t="inlineStr">
        <is>
          <t>en</t>
        </is>
      </c>
      <c r="H104" s="3" t="inlineStr">
        <is>
          <t>link</t>
        </is>
      </c>
      <c r="I104" s="4" t="n">
        <v>3</v>
      </c>
      <c r="J104" s="4" t="n">
        <v>2</v>
      </c>
      <c r="K104" s="3" t="inlineStr">
        <is>
          <t>partially</t>
        </is>
      </c>
      <c r="L104" s="4" t="n">
        <v>3</v>
      </c>
      <c r="M104" s="5" t="inlineStr">
        <is>
          <t>The final invoice was well above the quote and no one could tell me why.</t>
        </is>
      </c>
      <c r="N104" s="4" t="n">
        <v>4</v>
      </c>
      <c r="O104" s="4" t="n">
        <v>2</v>
      </c>
      <c r="P104" s="4" t="n">
        <v>3</v>
      </c>
      <c r="Q104" s="4" t="n">
        <v>3</v>
      </c>
      <c r="R104" s="4" t="n">
        <v>2</v>
      </c>
      <c r="S104" s="4" t="n">
        <v>3</v>
      </c>
      <c r="T104" s="6">
        <f>ROUND(AVERAGE(I104:J104),2)</f>
        <v/>
      </c>
      <c r="U104" s="6">
        <f>ROUND(AVERAGE(N104:S104),2)</f>
        <v/>
      </c>
      <c r="V104" s="7">
        <f>IF(L104&gt;=9,"promoter",IF(L104&gt;=7,"passive","detractor"))</f>
        <v/>
      </c>
      <c r="W104" s="8">
        <f>IF(OR(V104="detractor",K104&lt;&gt;"yes"),1,0)</f>
        <v/>
      </c>
      <c r="X104" s="2" t="n">
        <v>46222.46814814815</v>
      </c>
      <c r="Y104" s="5" t="inlineStr">
        <is>
          <t>Discussed the quote variance with the customer; the extra labour line was waived.</t>
        </is>
      </c>
    </row>
    <row r="105">
      <c r="A105" s="2" t="n">
        <v>46221.84255787037</v>
      </c>
      <c r="B105" s="3" t="inlineStr">
        <is>
          <t>Kavita Al Marzouqi</t>
        </is>
      </c>
      <c r="C105" s="3" t="inlineStr">
        <is>
          <t>+971 56 000 0104</t>
        </is>
      </c>
      <c r="D105" s="3" t="inlineStr">
        <is>
          <t>kavita.al.marzouqi104@example.com</t>
        </is>
      </c>
      <c r="E105" s="3" t="inlineStr">
        <is>
          <t>Dubai</t>
        </is>
      </c>
      <c r="F105" s="3" t="inlineStr">
        <is>
          <t>general_maintenance</t>
        </is>
      </c>
      <c r="G105" s="3" t="inlineStr">
        <is>
          <t>en</t>
        </is>
      </c>
      <c r="H105" s="3" t="inlineStr">
        <is>
          <t>qr</t>
        </is>
      </c>
      <c r="I105" s="4" t="n">
        <v>4</v>
      </c>
      <c r="J105" s="4" t="n">
        <v>5</v>
      </c>
      <c r="K105" s="3" t="inlineStr">
        <is>
          <t>yes</t>
        </is>
      </c>
      <c r="L105" s="4" t="n">
        <v>10</v>
      </c>
      <c r="M105" s="5" t="inlineStr">
        <is>
          <t>Excellent work on the routine service. Already recommended them to two colleagues at work.</t>
        </is>
      </c>
      <c r="N105" s="4" t="n">
        <v>5</v>
      </c>
      <c r="O105" s="4" t="n">
        <v>5</v>
      </c>
      <c r="P105" s="4" t="n">
        <v>5</v>
      </c>
      <c r="Q105" s="4" t="n">
        <v>5</v>
      </c>
      <c r="R105" s="4" t="n">
        <v>4</v>
      </c>
      <c r="S105" s="4" t="n">
        <v>5</v>
      </c>
      <c r="T105" s="6">
        <f>ROUND(AVERAGE(I105:J105),2)</f>
        <v/>
      </c>
      <c r="U105" s="6">
        <f>ROUND(AVERAGE(N105:S105),2)</f>
        <v/>
      </c>
      <c r="V105" s="7">
        <f>IF(L105&gt;=9,"promoter",IF(L105&gt;=7,"passive","detractor"))</f>
        <v/>
      </c>
      <c r="W105" s="8">
        <f>IF(OR(V105="detractor",K105&lt;&gt;"yes"),1,0)</f>
        <v/>
      </c>
      <c r="X105" s="3" t="inlineStr"/>
      <c r="Y105" s="5" t="inlineStr"/>
    </row>
    <row r="106">
      <c r="A106" s="2" t="n">
        <v>46222.45670138889</v>
      </c>
      <c r="B106" s="3" t="inlineStr">
        <is>
          <t>Vinod Iqbal</t>
        </is>
      </c>
      <c r="C106" s="3" t="inlineStr">
        <is>
          <t>+971 56 000 0105</t>
        </is>
      </c>
      <c r="D106" s="3" t="inlineStr">
        <is>
          <t>vinod.iqbal105@example.com</t>
        </is>
      </c>
      <c r="E106" s="3" t="inlineStr">
        <is>
          <t>Dubai</t>
        </is>
      </c>
      <c r="F106" s="3" t="inlineStr">
        <is>
          <t>tire_service</t>
        </is>
      </c>
      <c r="G106" s="3" t="inlineStr">
        <is>
          <t>en</t>
        </is>
      </c>
      <c r="H106" s="3" t="inlineStr">
        <is>
          <t>qr</t>
        </is>
      </c>
      <c r="I106" s="4" t="n">
        <v>5</v>
      </c>
      <c r="J106" s="4" t="n">
        <v>5</v>
      </c>
      <c r="K106" s="3" t="inlineStr">
        <is>
          <t>yes</t>
        </is>
      </c>
      <c r="L106" s="4" t="n">
        <v>10</v>
      </c>
      <c r="M106" s="5" t="inlineStr">
        <is>
          <t>They diagnosed in an hour what two other workshops could not find in a week.</t>
        </is>
      </c>
      <c r="N106" s="4" t="n">
        <v>5</v>
      </c>
      <c r="O106" s="4" t="n">
        <v>5</v>
      </c>
      <c r="P106" s="4" t="n">
        <v>5</v>
      </c>
      <c r="Q106" s="4" t="n">
        <v>5</v>
      </c>
      <c r="R106" s="4" t="n">
        <v>5</v>
      </c>
      <c r="S106" s="4" t="n">
        <v>5</v>
      </c>
      <c r="T106" s="6">
        <f>ROUND(AVERAGE(I106:J106),2)</f>
        <v/>
      </c>
      <c r="U106" s="6">
        <f>ROUND(AVERAGE(N106:S106),2)</f>
        <v/>
      </c>
      <c r="V106" s="7">
        <f>IF(L106&gt;=9,"promoter",IF(L106&gt;=7,"passive","detractor"))</f>
        <v/>
      </c>
      <c r="W106" s="8">
        <f>IF(OR(V106="detractor",K106&lt;&gt;"yes"),1,0)</f>
        <v/>
      </c>
      <c r="X106" s="3" t="inlineStr"/>
      <c r="Y106" s="5" t="inlineStr"/>
    </row>
    <row r="107">
      <c r="A107" s="2" t="n">
        <v>46222.65965277778</v>
      </c>
      <c r="B107" s="3" t="inlineStr">
        <is>
          <t>Amal Pillai</t>
        </is>
      </c>
      <c r="C107" s="3" t="inlineStr">
        <is>
          <t>+971 52 000 0106</t>
        </is>
      </c>
      <c r="D107" s="3" t="inlineStr">
        <is>
          <t>amal.pillai106@example.com</t>
        </is>
      </c>
      <c r="E107" s="3" t="inlineStr">
        <is>
          <t>Dubai</t>
        </is>
      </c>
      <c r="F107" s="3" t="inlineStr">
        <is>
          <t>general_maintenance</t>
        </is>
      </c>
      <c r="G107" s="3" t="inlineStr">
        <is>
          <t>en</t>
        </is>
      </c>
      <c r="H107" s="3" t="inlineStr">
        <is>
          <t>link</t>
        </is>
      </c>
      <c r="I107" s="4" t="n">
        <v>5</v>
      </c>
      <c r="J107" s="4" t="n">
        <v>4</v>
      </c>
      <c r="K107" s="3" t="inlineStr">
        <is>
          <t>yes</t>
        </is>
      </c>
      <c r="L107" s="4" t="n">
        <v>9</v>
      </c>
      <c r="M107" s="5" t="inlineStr">
        <is>
          <t>Quick, clean and reasonably priced. the routine service was exactly what I asked for.</t>
        </is>
      </c>
      <c r="N107" s="4" t="n">
        <v>4</v>
      </c>
      <c r="O107" s="4" t="n">
        <v>5</v>
      </c>
      <c r="P107" s="4" t="n">
        <v>5</v>
      </c>
      <c r="Q107" s="4" t="n">
        <v>5</v>
      </c>
      <c r="R107" s="4" t="n">
        <v>5</v>
      </c>
      <c r="S107" s="4" t="n">
        <v>5</v>
      </c>
      <c r="T107" s="6">
        <f>ROUND(AVERAGE(I107:J107),2)</f>
        <v/>
      </c>
      <c r="U107" s="6">
        <f>ROUND(AVERAGE(N107:S107),2)</f>
        <v/>
      </c>
      <c r="V107" s="7">
        <f>IF(L107&gt;=9,"promoter",IF(L107&gt;=7,"passive","detractor"))</f>
        <v/>
      </c>
      <c r="W107" s="8">
        <f>IF(OR(V107="detractor",K107&lt;&gt;"yes"),1,0)</f>
        <v/>
      </c>
      <c r="X107" s="3" t="inlineStr"/>
      <c r="Y107" s="5" t="inlineStr"/>
    </row>
    <row r="108">
      <c r="A108" s="2" t="n">
        <v>46222.68304398148</v>
      </c>
      <c r="B108" s="3" t="inlineStr">
        <is>
          <t>George Butt</t>
        </is>
      </c>
      <c r="C108" s="3" t="inlineStr">
        <is>
          <t>+971 56 000 0107</t>
        </is>
      </c>
      <c r="D108" s="3" t="inlineStr">
        <is>
          <t>george.butt107@example.com</t>
        </is>
      </c>
      <c r="E108" s="3" t="inlineStr">
        <is>
          <t>Abu Dhabi</t>
        </is>
      </c>
      <c r="F108" s="3" t="inlineStr">
        <is>
          <t>bodywork</t>
        </is>
      </c>
      <c r="G108" s="3" t="inlineStr">
        <is>
          <t>en</t>
        </is>
      </c>
      <c r="H108" s="3" t="inlineStr">
        <is>
          <t>link</t>
        </is>
      </c>
      <c r="I108" s="4" t="n">
        <v>4</v>
      </c>
      <c r="J108" s="4" t="n">
        <v>4</v>
      </c>
      <c r="K108" s="3" t="inlineStr">
        <is>
          <t>yes</t>
        </is>
      </c>
      <c r="L108" s="4" t="n">
        <v>7</v>
      </c>
      <c r="M108" s="5" t="inlineStr">
        <is>
          <t>Reasonable. I would use them again for the body repair but would confirm the price in writing first.</t>
        </is>
      </c>
      <c r="N108" s="4" t="n">
        <v>3</v>
      </c>
      <c r="O108" s="4" t="n">
        <v>2</v>
      </c>
      <c r="P108" s="4" t="n">
        <v>4</v>
      </c>
      <c r="Q108" s="4" t="n">
        <v>3</v>
      </c>
      <c r="R108" s="4" t="n">
        <v>3</v>
      </c>
      <c r="S108" s="4" t="n">
        <v>4</v>
      </c>
      <c r="T108" s="6">
        <f>ROUND(AVERAGE(I108:J108),2)</f>
        <v/>
      </c>
      <c r="U108" s="6">
        <f>ROUND(AVERAGE(N108:S108),2)</f>
        <v/>
      </c>
      <c r="V108" s="7">
        <f>IF(L108&gt;=9,"promoter",IF(L108&gt;=7,"passive","detractor"))</f>
        <v/>
      </c>
      <c r="W108" s="8">
        <f>IF(OR(V108="detractor",K108&lt;&gt;"yes"),1,0)</f>
        <v/>
      </c>
      <c r="X108" s="3" t="inlineStr"/>
      <c r="Y108" s="5" t="inlineStr"/>
    </row>
    <row r="109">
      <c r="A109" s="2" t="n">
        <v>46223.40787037037</v>
      </c>
      <c r="B109" s="3" t="inlineStr">
        <is>
          <t>Khalid Okonkwo</t>
        </is>
      </c>
      <c r="C109" s="3" t="inlineStr">
        <is>
          <t>+971 54 000 0108</t>
        </is>
      </c>
      <c r="D109" s="3" t="inlineStr">
        <is>
          <t>khalid.okonkwo108@example.com</t>
        </is>
      </c>
      <c r="E109" s="3" t="inlineStr">
        <is>
          <t>Dubai</t>
        </is>
      </c>
      <c r="F109" s="3" t="inlineStr">
        <is>
          <t>oil_change</t>
        </is>
      </c>
      <c r="G109" s="3" t="inlineStr">
        <is>
          <t>ar</t>
        </is>
      </c>
      <c r="H109" s="3" t="inlineStr">
        <is>
          <t>link</t>
        </is>
      </c>
      <c r="I109" s="4" t="n">
        <v>5</v>
      </c>
      <c r="J109" s="4" t="n">
        <v>5</v>
      </c>
      <c r="K109" s="3" t="inlineStr">
        <is>
          <t>yes</t>
        </is>
      </c>
      <c r="L109" s="4" t="n">
        <v>10</v>
      </c>
      <c r="M109" s="5" t="inlineStr">
        <is>
          <t>خدمة ممتازة والسعر مطابق لعرض السعر. تم إنجاز العمل في الوقت المحدد.</t>
        </is>
      </c>
      <c r="N109" s="4" t="n">
        <v>5</v>
      </c>
      <c r="O109" s="4" t="n">
        <v>5</v>
      </c>
      <c r="P109" s="4" t="n">
        <v>5</v>
      </c>
      <c r="Q109" s="4" t="n">
        <v>5</v>
      </c>
      <c r="R109" s="4" t="n">
        <v>5</v>
      </c>
      <c r="S109" s="4" t="n">
        <v>5</v>
      </c>
      <c r="T109" s="6">
        <f>ROUND(AVERAGE(I109:J109),2)</f>
        <v/>
      </c>
      <c r="U109" s="6">
        <f>ROUND(AVERAGE(N109:S109),2)</f>
        <v/>
      </c>
      <c r="V109" s="7">
        <f>IF(L109&gt;=9,"promoter",IF(L109&gt;=7,"passive","detractor"))</f>
        <v/>
      </c>
      <c r="W109" s="8">
        <f>IF(OR(V109="detractor",K109&lt;&gt;"yes"),1,0)</f>
        <v/>
      </c>
      <c r="X109" s="3" t="inlineStr"/>
      <c r="Y109" s="5" t="inlineStr"/>
    </row>
    <row r="110">
      <c r="A110" s="2" t="n">
        <v>46223.6225</v>
      </c>
      <c r="B110" s="3" t="inlineStr">
        <is>
          <t>Daniel Varghese</t>
        </is>
      </c>
      <c r="C110" s="3" t="inlineStr">
        <is>
          <t>+971 50 000 0109</t>
        </is>
      </c>
      <c r="D110" s="3" t="inlineStr">
        <is>
          <t>daniel.varghese109@example.com</t>
        </is>
      </c>
      <c r="E110" s="3" t="inlineStr">
        <is>
          <t>Dubai</t>
        </is>
      </c>
      <c r="F110" s="3" t="inlineStr">
        <is>
          <t>bodywork</t>
        </is>
      </c>
      <c r="G110" s="3" t="inlineStr">
        <is>
          <t>en</t>
        </is>
      </c>
      <c r="H110" s="3" t="inlineStr">
        <is>
          <t>link</t>
        </is>
      </c>
      <c r="I110" s="4" t="n">
        <v>5</v>
      </c>
      <c r="J110" s="4" t="n">
        <v>4</v>
      </c>
      <c r="K110" s="3" t="inlineStr">
        <is>
          <t>yes</t>
        </is>
      </c>
      <c r="L110" s="4" t="n">
        <v>10</v>
      </c>
      <c r="M110" s="5" t="inlineStr">
        <is>
          <t>They sent me photos of the old parts before replacing anything. That kind of transparency is rare.</t>
        </is>
      </c>
      <c r="N110" s="4" t="n">
        <v>5</v>
      </c>
      <c r="O110" s="4" t="n">
        <v>5</v>
      </c>
      <c r="P110" s="4" t="n">
        <v>5</v>
      </c>
      <c r="Q110" s="4" t="n">
        <v>5</v>
      </c>
      <c r="R110" s="4" t="n">
        <v>5</v>
      </c>
      <c r="S110" s="4" t="n">
        <v>5</v>
      </c>
      <c r="T110" s="6">
        <f>ROUND(AVERAGE(I110:J110),2)</f>
        <v/>
      </c>
      <c r="U110" s="6">
        <f>ROUND(AVERAGE(N110:S110),2)</f>
        <v/>
      </c>
      <c r="V110" s="7">
        <f>IF(L110&gt;=9,"promoter",IF(L110&gt;=7,"passive","detractor"))</f>
        <v/>
      </c>
      <c r="W110" s="8">
        <f>IF(OR(V110="detractor",K110&lt;&gt;"yes"),1,0)</f>
        <v/>
      </c>
      <c r="X110" s="3" t="inlineStr"/>
      <c r="Y110" s="5" t="inlineStr"/>
    </row>
    <row r="111">
      <c r="A111" s="2" t="n">
        <v>46223.67480324074</v>
      </c>
      <c r="B111" s="3" t="inlineStr">
        <is>
          <t>Vinu Okonkwo</t>
        </is>
      </c>
      <c r="C111" s="3" t="inlineStr">
        <is>
          <t>+971 50 000 0110</t>
        </is>
      </c>
      <c r="D111" s="3" t="inlineStr">
        <is>
          <t>vinu.okonkwo110@example.com</t>
        </is>
      </c>
      <c r="E111" s="3" t="inlineStr">
        <is>
          <t>Abu Dhabi</t>
        </is>
      </c>
      <c r="F111" s="3" t="inlineStr">
        <is>
          <t>diagnostic</t>
        </is>
      </c>
      <c r="G111" s="3" t="inlineStr">
        <is>
          <t>en</t>
        </is>
      </c>
      <c r="H111" s="3" t="inlineStr">
        <is>
          <t>link</t>
        </is>
      </c>
      <c r="I111" s="4" t="n">
        <v>5</v>
      </c>
      <c r="J111" s="4" t="n">
        <v>4</v>
      </c>
      <c r="K111" s="3" t="inlineStr">
        <is>
          <t>yes</t>
        </is>
      </c>
      <c r="L111" s="4" t="n">
        <v>9</v>
      </c>
      <c r="M111" s="5" t="inlineStr">
        <is>
          <t>They followed up a week later to check the car was still running well.</t>
        </is>
      </c>
      <c r="N111" s="4" t="n">
        <v>5</v>
      </c>
      <c r="O111" s="4" t="n">
        <v>5</v>
      </c>
      <c r="P111" s="4" t="n">
        <v>5</v>
      </c>
      <c r="Q111" s="4" t="n">
        <v>5</v>
      </c>
      <c r="R111" s="4" t="n">
        <v>5</v>
      </c>
      <c r="S111" s="4" t="n">
        <v>5</v>
      </c>
      <c r="T111" s="6">
        <f>ROUND(AVERAGE(I111:J111),2)</f>
        <v/>
      </c>
      <c r="U111" s="6">
        <f>ROUND(AVERAGE(N111:S111),2)</f>
        <v/>
      </c>
      <c r="V111" s="7">
        <f>IF(L111&gt;=9,"promoter",IF(L111&gt;=7,"passive","detractor"))</f>
        <v/>
      </c>
      <c r="W111" s="8">
        <f>IF(OR(V111="detractor",K111&lt;&gt;"yes"),1,0)</f>
        <v/>
      </c>
      <c r="X111" s="3" t="inlineStr"/>
      <c r="Y111" s="5" t="inlineStr"/>
    </row>
    <row r="112">
      <c r="A112" s="2" t="n">
        <v>46223.70932870371</v>
      </c>
      <c r="B112" s="3" t="inlineStr">
        <is>
          <t>Naeem Al Zaabi</t>
        </is>
      </c>
      <c r="C112" s="3" t="inlineStr">
        <is>
          <t>+971 56 000 0111</t>
        </is>
      </c>
      <c r="D112" s="3" t="inlineStr">
        <is>
          <t>naeem.al.zaabi111@example.com</t>
        </is>
      </c>
      <c r="E112" s="3" t="inlineStr">
        <is>
          <t>Sharjah</t>
        </is>
      </c>
      <c r="F112" s="3" t="inlineStr">
        <is>
          <t>general_maintenance</t>
        </is>
      </c>
      <c r="G112" s="3" t="inlineStr">
        <is>
          <t>en</t>
        </is>
      </c>
      <c r="H112" s="3" t="inlineStr">
        <is>
          <t>staff</t>
        </is>
      </c>
      <c r="I112" s="4" t="n">
        <v>5</v>
      </c>
      <c r="J112" s="4" t="n">
        <v>4</v>
      </c>
      <c r="K112" s="3" t="inlineStr">
        <is>
          <t>partially</t>
        </is>
      </c>
      <c r="L112" s="4" t="n">
        <v>9</v>
      </c>
      <c r="M112" s="5" t="inlineStr">
        <is>
          <t>Good warranty on the parts and they registered it for me without being asked.</t>
        </is>
      </c>
      <c r="N112" s="4" t="n">
        <v>5</v>
      </c>
      <c r="O112" s="4" t="n">
        <v>5</v>
      </c>
      <c r="P112" s="4" t="n">
        <v>4</v>
      </c>
      <c r="Q112" s="4" t="n">
        <v>5</v>
      </c>
      <c r="R112" s="4" t="n">
        <v>5</v>
      </c>
      <c r="S112" s="4" t="n">
        <v>5</v>
      </c>
      <c r="T112" s="6">
        <f>ROUND(AVERAGE(I112:J112),2)</f>
        <v/>
      </c>
      <c r="U112" s="6">
        <f>ROUND(AVERAGE(N112:S112),2)</f>
        <v/>
      </c>
      <c r="V112" s="7">
        <f>IF(L112&gt;=9,"promoter",IF(L112&gt;=7,"passive","detractor"))</f>
        <v/>
      </c>
      <c r="W112" s="8">
        <f>IF(OR(V112="detractor",K112&lt;&gt;"yes"),1,0)</f>
        <v/>
      </c>
      <c r="X112" s="3" t="inlineStr"/>
      <c r="Y112" s="5" t="inlineStr"/>
    </row>
    <row r="113">
      <c r="A113" s="2" t="n">
        <v>46223.75915509259</v>
      </c>
      <c r="B113" s="3" t="inlineStr">
        <is>
          <t>Suresh Al Mansoori</t>
        </is>
      </c>
      <c r="C113" s="3" t="inlineStr">
        <is>
          <t>+971 55 000 0112</t>
        </is>
      </c>
      <c r="D113" s="3" t="inlineStr">
        <is>
          <t>suresh.al.mansoori112@example.com</t>
        </is>
      </c>
      <c r="E113" s="3" t="inlineStr">
        <is>
          <t>Dubai</t>
        </is>
      </c>
      <c r="F113" s="3" t="inlineStr">
        <is>
          <t>engine_repair</t>
        </is>
      </c>
      <c r="G113" s="3" t="inlineStr">
        <is>
          <t>en</t>
        </is>
      </c>
      <c r="H113" s="3" t="inlineStr">
        <is>
          <t>link</t>
        </is>
      </c>
      <c r="I113" s="4" t="n">
        <v>4</v>
      </c>
      <c r="J113" s="4" t="n">
        <v>3</v>
      </c>
      <c r="K113" s="3" t="inlineStr">
        <is>
          <t>yes</t>
        </is>
      </c>
      <c r="L113" s="4" t="n">
        <v>8</v>
      </c>
      <c r="M113" s="5" t="inlineStr">
        <is>
          <t>Decent job on the engine repair, but nobody called to say the car was ready — I found out when I arrived.</t>
        </is>
      </c>
      <c r="N113" s="4" t="n">
        <v>4</v>
      </c>
      <c r="O113" s="4" t="n">
        <v>5</v>
      </c>
      <c r="P113" s="4" t="n">
        <v>4</v>
      </c>
      <c r="Q113" s="4" t="n">
        <v>4</v>
      </c>
      <c r="R113" s="4" t="n">
        <v>4</v>
      </c>
      <c r="S113" s="4" t="n">
        <v>5</v>
      </c>
      <c r="T113" s="6">
        <f>ROUND(AVERAGE(I113:J113),2)</f>
        <v/>
      </c>
      <c r="U113" s="6">
        <f>ROUND(AVERAGE(N113:S113),2)</f>
        <v/>
      </c>
      <c r="V113" s="7">
        <f>IF(L113&gt;=9,"promoter",IF(L113&gt;=7,"passive","detractor"))</f>
        <v/>
      </c>
      <c r="W113" s="8">
        <f>IF(OR(V113="detractor",K113&lt;&gt;"yes"),1,0)</f>
        <v/>
      </c>
      <c r="X113" s="3" t="inlineStr"/>
      <c r="Y113" s="5" t="inlineStr"/>
    </row>
    <row r="114">
      <c r="A114" s="2" t="n">
        <v>46223.76597222222</v>
      </c>
      <c r="B114" s="3" t="inlineStr">
        <is>
          <t>Divya Sharma</t>
        </is>
      </c>
      <c r="C114" s="3" t="inlineStr">
        <is>
          <t>+971 52 000 0113</t>
        </is>
      </c>
      <c r="D114" s="3" t="inlineStr">
        <is>
          <t>divya.sharma113@example.com</t>
        </is>
      </c>
      <c r="E114" s="3" t="inlineStr">
        <is>
          <t>Dubai</t>
        </is>
      </c>
      <c r="F114" s="3" t="inlineStr">
        <is>
          <t>brake_repair</t>
        </is>
      </c>
      <c r="G114" s="3" t="inlineStr">
        <is>
          <t>en</t>
        </is>
      </c>
      <c r="H114" s="3" t="inlineStr">
        <is>
          <t>link</t>
        </is>
      </c>
      <c r="I114" s="4" t="n">
        <v>5</v>
      </c>
      <c r="J114" s="4" t="n">
        <v>5</v>
      </c>
      <c r="K114" s="3" t="inlineStr">
        <is>
          <t>yes</t>
        </is>
      </c>
      <c r="L114" s="4" t="n">
        <v>10</v>
      </c>
      <c r="M114" s="5" t="inlineStr">
        <is>
          <t>The technician showed me the problem on the car itself instead of just handing me a bill.</t>
        </is>
      </c>
      <c r="N114" s="4" t="n">
        <v>5</v>
      </c>
      <c r="O114" s="4" t="n">
        <v>5</v>
      </c>
      <c r="P114" s="4" t="n">
        <v>5</v>
      </c>
      <c r="Q114" s="4" t="n">
        <v>4</v>
      </c>
      <c r="R114" s="4" t="n">
        <v>5</v>
      </c>
      <c r="S114" s="4" t="n">
        <v>5</v>
      </c>
      <c r="T114" s="6">
        <f>ROUND(AVERAGE(I114:J114),2)</f>
        <v/>
      </c>
      <c r="U114" s="6">
        <f>ROUND(AVERAGE(N114:S114),2)</f>
        <v/>
      </c>
      <c r="V114" s="7">
        <f>IF(L114&gt;=9,"promoter",IF(L114&gt;=7,"passive","detractor"))</f>
        <v/>
      </c>
      <c r="W114" s="8">
        <f>IF(OR(V114="detractor",K114&lt;&gt;"yes"),1,0)</f>
        <v/>
      </c>
      <c r="X114" s="3" t="inlineStr"/>
      <c r="Y114" s="5" t="inlineStr"/>
    </row>
    <row r="115">
      <c r="A115" s="2" t="n">
        <v>46223.82744212963</v>
      </c>
      <c r="B115" s="3" t="inlineStr">
        <is>
          <t>Sunil Sullivan</t>
        </is>
      </c>
      <c r="C115" s="3" t="inlineStr">
        <is>
          <t>+971 58 000 0114</t>
        </is>
      </c>
      <c r="D115" s="3" t="inlineStr">
        <is>
          <t>sunil.sullivan114@example.com</t>
        </is>
      </c>
      <c r="E115" s="3" t="inlineStr">
        <is>
          <t>Dubai</t>
        </is>
      </c>
      <c r="F115" s="3" t="inlineStr">
        <is>
          <t>electrical</t>
        </is>
      </c>
      <c r="G115" s="3" t="inlineStr">
        <is>
          <t>en</t>
        </is>
      </c>
      <c r="H115" s="3" t="inlineStr">
        <is>
          <t>link</t>
        </is>
      </c>
      <c r="I115" s="4" t="n">
        <v>2</v>
      </c>
      <c r="J115" s="4" t="n">
        <v>2</v>
      </c>
      <c r="K115" s="3" t="inlineStr">
        <is>
          <t>no</t>
        </is>
      </c>
      <c r="L115" s="4" t="n">
        <v>3</v>
      </c>
      <c r="M115" s="5" t="inlineStr">
        <is>
          <t>Advisor promised a call back three times and it never came.</t>
        </is>
      </c>
      <c r="N115" s="4" t="n">
        <v>2</v>
      </c>
      <c r="O115" s="4" t="n">
        <v>2</v>
      </c>
      <c r="P115" s="4" t="n">
        <v>1</v>
      </c>
      <c r="Q115" s="4" t="n">
        <v>2</v>
      </c>
      <c r="R115" s="4" t="n">
        <v>1</v>
      </c>
      <c r="S115" s="4" t="n">
        <v>1</v>
      </c>
      <c r="T115" s="6">
        <f>ROUND(AVERAGE(I115:J115),2)</f>
        <v/>
      </c>
      <c r="U115" s="6">
        <f>ROUND(AVERAGE(N115:S115),2)</f>
        <v/>
      </c>
      <c r="V115" s="7">
        <f>IF(L115&gt;=9,"promoter",IF(L115&gt;=7,"passive","detractor"))</f>
        <v/>
      </c>
      <c r="W115" s="8">
        <f>IF(OR(V115="detractor",K115&lt;&gt;"yes"),1,0)</f>
        <v/>
      </c>
      <c r="X115" s="2" t="n">
        <v>46224.49410879629</v>
      </c>
      <c r="Y115" s="5" t="inlineStr">
        <is>
          <t>Followed up by phone. Customer declined a return visit but accepted the apology.</t>
        </is>
      </c>
    </row>
    <row r="116">
      <c r="A116" s="2" t="n">
        <v>46224.38028935185</v>
      </c>
      <c r="B116" s="3" t="inlineStr">
        <is>
          <t>Vijay Kumar</t>
        </is>
      </c>
      <c r="C116" s="3" t="inlineStr">
        <is>
          <t>+971 58 000 0115</t>
        </is>
      </c>
      <c r="D116" s="3" t="inlineStr">
        <is>
          <t>vijay.kumar115@example.com</t>
        </is>
      </c>
      <c r="E116" s="3" t="inlineStr">
        <is>
          <t>Abu Dhabi</t>
        </is>
      </c>
      <c r="F116" s="3" t="inlineStr">
        <is>
          <t>transmission</t>
        </is>
      </c>
      <c r="G116" s="3" t="inlineStr">
        <is>
          <t>en</t>
        </is>
      </c>
      <c r="H116" s="3" t="inlineStr">
        <is>
          <t>qr</t>
        </is>
      </c>
      <c r="I116" s="4" t="n">
        <v>4</v>
      </c>
      <c r="J116" s="4" t="n">
        <v>4</v>
      </c>
      <c r="K116" s="3" t="inlineStr">
        <is>
          <t>yes</t>
        </is>
      </c>
      <c r="L116" s="4" t="n">
        <v>7</v>
      </c>
      <c r="M116" s="5" t="inlineStr">
        <is>
          <t>Reasonable service. I would like a clearer breakdown of labour versus parts on the invoice.</t>
        </is>
      </c>
      <c r="N116" s="4" t="n">
        <v>4</v>
      </c>
      <c r="O116" s="4" t="n">
        <v>4</v>
      </c>
      <c r="P116" s="4" t="n">
        <v>4</v>
      </c>
      <c r="Q116" s="4" t="n">
        <v>3</v>
      </c>
      <c r="R116" s="4" t="n">
        <v>4</v>
      </c>
      <c r="S116" s="4" t="n">
        <v>4</v>
      </c>
      <c r="T116" s="6">
        <f>ROUND(AVERAGE(I116:J116),2)</f>
        <v/>
      </c>
      <c r="U116" s="6">
        <f>ROUND(AVERAGE(N116:S116),2)</f>
        <v/>
      </c>
      <c r="V116" s="7">
        <f>IF(L116&gt;=9,"promoter",IF(L116&gt;=7,"passive","detractor"))</f>
        <v/>
      </c>
      <c r="W116" s="8">
        <f>IF(OR(V116="detractor",K116&lt;&gt;"yes"),1,0)</f>
        <v/>
      </c>
      <c r="X116" s="3" t="inlineStr"/>
      <c r="Y116" s="5" t="inlineStr"/>
    </row>
    <row r="117">
      <c r="A117" s="2" t="n">
        <v>46224.38527777778</v>
      </c>
      <c r="B117" s="3" t="inlineStr">
        <is>
          <t>George Villanueva</t>
        </is>
      </c>
      <c r="C117" s="3" t="inlineStr">
        <is>
          <t>+971 52 000 0116</t>
        </is>
      </c>
      <c r="D117" s="3" t="inlineStr">
        <is>
          <t>george.villanueva116@example.com</t>
        </is>
      </c>
      <c r="E117" s="3" t="inlineStr">
        <is>
          <t>Dubai</t>
        </is>
      </c>
      <c r="F117" s="3" t="inlineStr">
        <is>
          <t>tire_service</t>
        </is>
      </c>
      <c r="G117" s="3" t="inlineStr">
        <is>
          <t>en</t>
        </is>
      </c>
      <c r="H117" s="3" t="inlineStr">
        <is>
          <t>link</t>
        </is>
      </c>
      <c r="I117" s="4" t="n">
        <v>4</v>
      </c>
      <c r="J117" s="4" t="n">
        <v>4</v>
      </c>
      <c r="K117" s="3" t="inlineStr">
        <is>
          <t>yes</t>
        </is>
      </c>
      <c r="L117" s="4" t="n">
        <v>7</v>
      </c>
      <c r="M117" s="5" t="inlineStr">
        <is>
          <t>Fine service, though I was not told about an extra charge until I came to pay.</t>
        </is>
      </c>
      <c r="N117" s="4" t="n">
        <v>4</v>
      </c>
      <c r="O117" s="4" t="n">
        <v>3</v>
      </c>
      <c r="P117" s="4" t="n">
        <v>4</v>
      </c>
      <c r="Q117" s="4" t="n">
        <v>4</v>
      </c>
      <c r="R117" s="4" t="n">
        <v>4</v>
      </c>
      <c r="S117" s="4" t="n">
        <v>5</v>
      </c>
      <c r="T117" s="6">
        <f>ROUND(AVERAGE(I117:J117),2)</f>
        <v/>
      </c>
      <c r="U117" s="6">
        <f>ROUND(AVERAGE(N117:S117),2)</f>
        <v/>
      </c>
      <c r="V117" s="7">
        <f>IF(L117&gt;=9,"promoter",IF(L117&gt;=7,"passive","detractor"))</f>
        <v/>
      </c>
      <c r="W117" s="8">
        <f>IF(OR(V117="detractor",K117&lt;&gt;"yes"),1,0)</f>
        <v/>
      </c>
      <c r="X117" s="3" t="inlineStr"/>
      <c r="Y117" s="5" t="inlineStr"/>
    </row>
    <row r="118">
      <c r="A118" s="2" t="n">
        <v>46224.51692129629</v>
      </c>
      <c r="B118" s="3" t="inlineStr">
        <is>
          <t>Paul Khan</t>
        </is>
      </c>
      <c r="C118" s="3" t="inlineStr">
        <is>
          <t>+971 50 000 0117</t>
        </is>
      </c>
      <c r="D118" s="3" t="inlineStr">
        <is>
          <t>paul.khan117@example.com</t>
        </is>
      </c>
      <c r="E118" s="3" t="inlineStr">
        <is>
          <t>Abu Dhabi</t>
        </is>
      </c>
      <c r="F118" s="3" t="inlineStr">
        <is>
          <t>brake_repair</t>
        </is>
      </c>
      <c r="G118" s="3" t="inlineStr">
        <is>
          <t>en</t>
        </is>
      </c>
      <c r="H118" s="3" t="inlineStr">
        <is>
          <t>link</t>
        </is>
      </c>
      <c r="I118" s="4" t="n">
        <v>4</v>
      </c>
      <c r="J118" s="4" t="n">
        <v>4</v>
      </c>
      <c r="K118" s="3" t="inlineStr">
        <is>
          <t>yes</t>
        </is>
      </c>
      <c r="L118" s="4" t="n">
        <v>10</v>
      </c>
      <c r="M118" s="5" t="inlineStr">
        <is>
          <t>They fitted me in the same day for an emergency and still finished the brake job on time.</t>
        </is>
      </c>
      <c r="N118" s="4" t="n">
        <v>3</v>
      </c>
      <c r="O118" s="4" t="n">
        <v>4</v>
      </c>
      <c r="P118" s="4" t="n">
        <v>4</v>
      </c>
      <c r="Q118" s="4" t="n">
        <v>4</v>
      </c>
      <c r="R118" s="4" t="n">
        <v>4</v>
      </c>
      <c r="S118" s="4" t="n">
        <v>4</v>
      </c>
      <c r="T118" s="6">
        <f>ROUND(AVERAGE(I118:J118),2)</f>
        <v/>
      </c>
      <c r="U118" s="6">
        <f>ROUND(AVERAGE(N118:S118),2)</f>
        <v/>
      </c>
      <c r="V118" s="7">
        <f>IF(L118&gt;=9,"promoter",IF(L118&gt;=7,"passive","detractor"))</f>
        <v/>
      </c>
      <c r="W118" s="8">
        <f>IF(OR(V118="detractor",K118&lt;&gt;"yes"),1,0)</f>
        <v/>
      </c>
      <c r="X118" s="3" t="inlineStr"/>
      <c r="Y118" s="5" t="inlineStr"/>
    </row>
    <row r="119">
      <c r="A119" s="2" t="n">
        <v>46224.71890046296</v>
      </c>
      <c r="B119" s="3" t="inlineStr">
        <is>
          <t>Mariam Al Blooshi</t>
        </is>
      </c>
      <c r="C119" s="3" t="inlineStr">
        <is>
          <t>+971 58 000 0118</t>
        </is>
      </c>
      <c r="D119" s="3" t="inlineStr">
        <is>
          <t>mariam.al.blooshi118@example.com</t>
        </is>
      </c>
      <c r="E119" s="3" t="inlineStr">
        <is>
          <t>Al Ain</t>
        </is>
      </c>
      <c r="F119" s="3" t="inlineStr">
        <is>
          <t>transmission</t>
        </is>
      </c>
      <c r="G119" s="3" t="inlineStr">
        <is>
          <t>en</t>
        </is>
      </c>
      <c r="H119" s="3" t="inlineStr">
        <is>
          <t>portal</t>
        </is>
      </c>
      <c r="I119" s="4" t="n">
        <v>5</v>
      </c>
      <c r="J119" s="4" t="n">
        <v>5</v>
      </c>
      <c r="K119" s="3" t="inlineStr">
        <is>
          <t>yes</t>
        </is>
      </c>
      <c r="L119" s="4" t="n">
        <v>10</v>
      </c>
      <c r="M119" s="5" t="inlineStr">
        <is>
          <t>The advisor remembered my car's history and flagged something due next service. Genuinely helpful.</t>
        </is>
      </c>
      <c r="N119" s="4" t="n">
        <v>4</v>
      </c>
      <c r="O119" s="4" t="n">
        <v>5</v>
      </c>
      <c r="P119" s="4" t="n">
        <v>5</v>
      </c>
      <c r="Q119" s="4" t="n">
        <v>5</v>
      </c>
      <c r="R119" s="4" t="n">
        <v>5</v>
      </c>
      <c r="S119" s="4" t="n">
        <v>5</v>
      </c>
      <c r="T119" s="6">
        <f>ROUND(AVERAGE(I119:J119),2)</f>
        <v/>
      </c>
      <c r="U119" s="6">
        <f>ROUND(AVERAGE(N119:S119),2)</f>
        <v/>
      </c>
      <c r="V119" s="7">
        <f>IF(L119&gt;=9,"promoter",IF(L119&gt;=7,"passive","detractor"))</f>
        <v/>
      </c>
      <c r="W119" s="8">
        <f>IF(OR(V119="detractor",K119&lt;&gt;"yes"),1,0)</f>
        <v/>
      </c>
      <c r="X119" s="3" t="inlineStr"/>
      <c r="Y119" s="5" t="inlineStr"/>
    </row>
    <row r="120">
      <c r="A120" s="2" t="n">
        <v>46224.74405092592</v>
      </c>
      <c r="B120" s="3" t="inlineStr">
        <is>
          <t>Daniel Al Ali</t>
        </is>
      </c>
      <c r="C120" s="3" t="inlineStr">
        <is>
          <t>+971 58 000 0119</t>
        </is>
      </c>
      <c r="D120" s="3" t="inlineStr">
        <is>
          <t>daniel.al.ali119@example.com</t>
        </is>
      </c>
      <c r="E120" s="3" t="inlineStr">
        <is>
          <t>Dubai</t>
        </is>
      </c>
      <c r="F120" s="3" t="inlineStr">
        <is>
          <t>tire_service</t>
        </is>
      </c>
      <c r="G120" s="3" t="inlineStr">
        <is>
          <t>en</t>
        </is>
      </c>
      <c r="H120" s="3" t="inlineStr">
        <is>
          <t>link</t>
        </is>
      </c>
      <c r="I120" s="4" t="n">
        <v>1</v>
      </c>
      <c r="J120" s="4" t="n">
        <v>1</v>
      </c>
      <c r="K120" s="3" t="inlineStr">
        <is>
          <t>no</t>
        </is>
      </c>
      <c r="L120" s="4" t="n">
        <v>2</v>
      </c>
      <c r="M120" s="5" t="inlineStr">
        <is>
          <t>The technician clearly did not know how to deal with my issue.</t>
        </is>
      </c>
      <c r="N120" s="4" t="n">
        <v>2</v>
      </c>
      <c r="O120" s="4" t="n">
        <v>1</v>
      </c>
      <c r="P120" s="4" t="n">
        <v>2</v>
      </c>
      <c r="Q120" s="4" t="n">
        <v>2</v>
      </c>
      <c r="R120" s="4" t="n">
        <v>1</v>
      </c>
      <c r="S120" s="4" t="n">
        <v>2</v>
      </c>
      <c r="T120" s="6">
        <f>ROUND(AVERAGE(I120:J120),2)</f>
        <v/>
      </c>
      <c r="U120" s="6">
        <f>ROUND(AVERAGE(N120:S120),2)</f>
        <v/>
      </c>
      <c r="V120" s="7">
        <f>IF(L120&gt;=9,"promoter",IF(L120&gt;=7,"passive","detractor"))</f>
        <v/>
      </c>
      <c r="W120" s="8">
        <f>IF(OR(V120="detractor",K120&lt;&gt;"yes"),1,0)</f>
        <v/>
      </c>
      <c r="X120" s="3" t="inlineStr"/>
      <c r="Y120" s="5" t="inlineStr"/>
    </row>
    <row r="121">
      <c r="A121" s="2" t="n">
        <v>46224.77554398148</v>
      </c>
      <c r="B121" s="3" t="inlineStr">
        <is>
          <t>Vinod Menon</t>
        </is>
      </c>
      <c r="C121" s="3" t="inlineStr">
        <is>
          <t>+971 56 000 0120</t>
        </is>
      </c>
      <c r="D121" s="3" t="inlineStr">
        <is>
          <t>vinod.menon120@example.com</t>
        </is>
      </c>
      <c r="E121" s="3" t="inlineStr">
        <is>
          <t>Abu Dhabi</t>
        </is>
      </c>
      <c r="F121" s="3" t="inlineStr">
        <is>
          <t>oil_change</t>
        </is>
      </c>
      <c r="G121" s="3" t="inlineStr">
        <is>
          <t>ar</t>
        </is>
      </c>
      <c r="H121" s="3" t="inlineStr">
        <is>
          <t>qr</t>
        </is>
      </c>
      <c r="I121" s="4" t="n">
        <v>5</v>
      </c>
      <c r="J121" s="4" t="n">
        <v>5</v>
      </c>
      <c r="K121" s="3" t="inlineStr">
        <is>
          <t>yes</t>
        </is>
      </c>
      <c r="L121" s="4" t="n">
        <v>9</v>
      </c>
      <c r="M121" s="5" t="inlineStr">
        <is>
          <t>أفضل ورشة تعاملت معها. العمل متقن والأسعار معقولة.</t>
        </is>
      </c>
      <c r="N121" s="4" t="n">
        <v>5</v>
      </c>
      <c r="O121" s="4" t="n">
        <v>5</v>
      </c>
      <c r="P121" s="4" t="n">
        <v>5</v>
      </c>
      <c r="Q121" s="4" t="n">
        <v>4</v>
      </c>
      <c r="R121" s="4" t="n">
        <v>5</v>
      </c>
      <c r="S121" s="4" t="n">
        <v>4</v>
      </c>
      <c r="T121" s="6">
        <f>ROUND(AVERAGE(I121:J121),2)</f>
        <v/>
      </c>
      <c r="U121" s="6">
        <f>ROUND(AVERAGE(N121:S121),2)</f>
        <v/>
      </c>
      <c r="V121" s="7">
        <f>IF(L121&gt;=9,"promoter",IF(L121&gt;=7,"passive","detractor"))</f>
        <v/>
      </c>
      <c r="W121" s="8">
        <f>IF(OR(V121="detractor",K121&lt;&gt;"yes"),1,0)</f>
        <v/>
      </c>
      <c r="X121" s="3" t="inlineStr"/>
      <c r="Y121" s="5" t="inlineStr"/>
    </row>
    <row r="122">
      <c r="A122" s="2" t="n">
        <v>46224.82372685185</v>
      </c>
      <c r="B122" s="3" t="inlineStr">
        <is>
          <t>Usman Al Mansoori</t>
        </is>
      </c>
      <c r="C122" s="3" t="inlineStr">
        <is>
          <t>+971 56 000 0121</t>
        </is>
      </c>
      <c r="D122" s="3" t="inlineStr">
        <is>
          <t>usman.al.mansoori121@example.com</t>
        </is>
      </c>
      <c r="E122" s="3" t="inlineStr">
        <is>
          <t>Sharjah</t>
        </is>
      </c>
      <c r="F122" s="3" t="inlineStr">
        <is>
          <t>brake_repair</t>
        </is>
      </c>
      <c r="G122" s="3" t="inlineStr">
        <is>
          <t>en</t>
        </is>
      </c>
      <c r="H122" s="3" t="inlineStr">
        <is>
          <t>link</t>
        </is>
      </c>
      <c r="I122" s="4" t="n">
        <v>4</v>
      </c>
      <c r="J122" s="4" t="n">
        <v>3</v>
      </c>
      <c r="K122" s="3" t="inlineStr">
        <is>
          <t>partially</t>
        </is>
      </c>
      <c r="L122" s="4" t="n">
        <v>8</v>
      </c>
      <c r="M122" s="5" t="inlineStr">
        <is>
          <t>No complaints about the quality, but the reception area gets very crowded in the morning.</t>
        </is>
      </c>
      <c r="N122" s="4" t="n">
        <v>5</v>
      </c>
      <c r="O122" s="4" t="n">
        <v>4</v>
      </c>
      <c r="P122" s="4" t="n">
        <v>4</v>
      </c>
      <c r="Q122" s="4" t="n">
        <v>4</v>
      </c>
      <c r="R122" s="4" t="n">
        <v>4</v>
      </c>
      <c r="S122" s="4" t="n">
        <v>4</v>
      </c>
      <c r="T122" s="6">
        <f>ROUND(AVERAGE(I122:J122),2)</f>
        <v/>
      </c>
      <c r="U122" s="6">
        <f>ROUND(AVERAGE(N122:S122),2)</f>
        <v/>
      </c>
      <c r="V122" s="7">
        <f>IF(L122&gt;=9,"promoter",IF(L122&gt;=7,"passive","detractor"))</f>
        <v/>
      </c>
      <c r="W122" s="8">
        <f>IF(OR(V122="detractor",K122&lt;&gt;"yes"),1,0)</f>
        <v/>
      </c>
      <c r="X122" s="3" t="inlineStr"/>
      <c r="Y122" s="5" t="inlineStr"/>
    </row>
    <row r="123">
      <c r="A123" s="2" t="n">
        <v>46225.42038194444</v>
      </c>
      <c r="B123" s="3" t="inlineStr">
        <is>
          <t>Suresh Al Zaabi</t>
        </is>
      </c>
      <c r="C123" s="3" t="inlineStr">
        <is>
          <t>+971 55 000 0122</t>
        </is>
      </c>
      <c r="D123" s="3" t="inlineStr">
        <is>
          <t>suresh.al.zaabi122@example.com</t>
        </is>
      </c>
      <c r="E123" s="3" t="inlineStr">
        <is>
          <t>Sharjah</t>
        </is>
      </c>
      <c r="F123" s="3" t="inlineStr">
        <is>
          <t>general_maintenance</t>
        </is>
      </c>
      <c r="G123" s="3" t="inlineStr">
        <is>
          <t>en</t>
        </is>
      </c>
      <c r="H123" s="3" t="inlineStr">
        <is>
          <t>link</t>
        </is>
      </c>
      <c r="I123" s="4" t="n">
        <v>5</v>
      </c>
      <c r="J123" s="4" t="n">
        <v>5</v>
      </c>
      <c r="K123" s="3" t="inlineStr">
        <is>
          <t>yes</t>
        </is>
      </c>
      <c r="L123" s="4" t="n">
        <v>10</v>
      </c>
      <c r="M123" s="5" t="inlineStr">
        <is>
          <t>Excellent work on the routine service. Already recommended them to two colleagues at work.</t>
        </is>
      </c>
      <c r="N123" s="4" t="n">
        <v>4</v>
      </c>
      <c r="O123" s="4" t="n">
        <v>5</v>
      </c>
      <c r="P123" s="4" t="n">
        <v>4</v>
      </c>
      <c r="Q123" s="4" t="n">
        <v>5</v>
      </c>
      <c r="R123" s="4" t="n">
        <v>5</v>
      </c>
      <c r="S123" s="4" t="n">
        <v>5</v>
      </c>
      <c r="T123" s="6">
        <f>ROUND(AVERAGE(I123:J123),2)</f>
        <v/>
      </c>
      <c r="U123" s="6">
        <f>ROUND(AVERAGE(N123:S123),2)</f>
        <v/>
      </c>
      <c r="V123" s="7">
        <f>IF(L123&gt;=9,"promoter",IF(L123&gt;=7,"passive","detractor"))</f>
        <v/>
      </c>
      <c r="W123" s="8">
        <f>IF(OR(V123="detractor",K123&lt;&gt;"yes"),1,0)</f>
        <v/>
      </c>
      <c r="X123" s="3" t="inlineStr"/>
      <c r="Y123" s="5" t="inlineStr"/>
    </row>
    <row r="124">
      <c r="A124" s="2" t="n">
        <v>46225.44008101852</v>
      </c>
      <c r="B124" s="3" t="inlineStr">
        <is>
          <t>Ahmed Al Rashidi</t>
        </is>
      </c>
      <c r="C124" s="3" t="inlineStr">
        <is>
          <t>+971 52 000 0123</t>
        </is>
      </c>
      <c r="D124" s="3" t="inlineStr">
        <is>
          <t>ahmed.al.rashidi123@example.com</t>
        </is>
      </c>
      <c r="E124" s="3" t="inlineStr">
        <is>
          <t>Al Ain</t>
        </is>
      </c>
      <c r="F124" s="3" t="inlineStr">
        <is>
          <t>electrical</t>
        </is>
      </c>
      <c r="G124" s="3" t="inlineStr">
        <is>
          <t>en</t>
        </is>
      </c>
      <c r="H124" s="3" t="inlineStr">
        <is>
          <t>link</t>
        </is>
      </c>
      <c r="I124" s="4" t="n">
        <v>5</v>
      </c>
      <c r="J124" s="4" t="n">
        <v>5</v>
      </c>
      <c r="K124" s="3" t="inlineStr">
        <is>
          <t>yes</t>
        </is>
      </c>
      <c r="L124" s="4" t="n">
        <v>9</v>
      </c>
      <c r="M124" s="5" t="inlineStr">
        <is>
          <t>They diagnosed in an hour what two other workshops could not find in a week.</t>
        </is>
      </c>
      <c r="N124" s="4" t="n">
        <v>3</v>
      </c>
      <c r="O124" s="4" t="n">
        <v>4</v>
      </c>
      <c r="P124" s="4" t="n">
        <v>4</v>
      </c>
      <c r="Q124" s="4" t="n">
        <v>4</v>
      </c>
      <c r="R124" s="4" t="n">
        <v>4</v>
      </c>
      <c r="S124" s="4" t="n">
        <v>4</v>
      </c>
      <c r="T124" s="6">
        <f>ROUND(AVERAGE(I124:J124),2)</f>
        <v/>
      </c>
      <c r="U124" s="6">
        <f>ROUND(AVERAGE(N124:S124),2)</f>
        <v/>
      </c>
      <c r="V124" s="7">
        <f>IF(L124&gt;=9,"promoter",IF(L124&gt;=7,"passive","detractor"))</f>
        <v/>
      </c>
      <c r="W124" s="8">
        <f>IF(OR(V124="detractor",K124&lt;&gt;"yes"),1,0)</f>
        <v/>
      </c>
      <c r="X124" s="3" t="inlineStr"/>
      <c r="Y124" s="5" t="inlineStr"/>
    </row>
    <row r="125">
      <c r="A125" s="2" t="n">
        <v>46225.52975694444</v>
      </c>
      <c r="B125" s="3" t="inlineStr">
        <is>
          <t>Amal Marsh</t>
        </is>
      </c>
      <c r="C125" s="3" t="inlineStr">
        <is>
          <t>+971 55 000 0124</t>
        </is>
      </c>
      <c r="D125" s="3" t="inlineStr">
        <is>
          <t>amal.marsh124@example.com</t>
        </is>
      </c>
      <c r="E125" s="3" t="inlineStr">
        <is>
          <t>Abu Dhabi</t>
        </is>
      </c>
      <c r="F125" s="3" t="inlineStr">
        <is>
          <t>general_maintenance</t>
        </is>
      </c>
      <c r="G125" s="3" t="inlineStr">
        <is>
          <t>en</t>
        </is>
      </c>
      <c r="H125" s="3" t="inlineStr">
        <is>
          <t>qr</t>
        </is>
      </c>
      <c r="I125" s="4" t="n">
        <v>5</v>
      </c>
      <c r="J125" s="4" t="n">
        <v>4</v>
      </c>
      <c r="K125" s="3" t="inlineStr">
        <is>
          <t>yes</t>
        </is>
      </c>
      <c r="L125" s="4" t="n">
        <v>9</v>
      </c>
      <c r="M125" s="5" t="inlineStr">
        <is>
          <t>Quoted price was the final price. No surprises on the invoice after the routine service.</t>
        </is>
      </c>
      <c r="N125" s="4" t="n">
        <v>5</v>
      </c>
      <c r="O125" s="4" t="n">
        <v>5</v>
      </c>
      <c r="P125" s="4" t="n">
        <v>5</v>
      </c>
      <c r="Q125" s="4" t="n">
        <v>5</v>
      </c>
      <c r="R125" s="4" t="n">
        <v>4</v>
      </c>
      <c r="S125" s="4" t="n">
        <v>5</v>
      </c>
      <c r="T125" s="6">
        <f>ROUND(AVERAGE(I125:J125),2)</f>
        <v/>
      </c>
      <c r="U125" s="6">
        <f>ROUND(AVERAGE(N125:S125),2)</f>
        <v/>
      </c>
      <c r="V125" s="7">
        <f>IF(L125&gt;=9,"promoter",IF(L125&gt;=7,"passive","detractor"))</f>
        <v/>
      </c>
      <c r="W125" s="8">
        <f>IF(OR(V125="detractor",K125&lt;&gt;"yes"),1,0)</f>
        <v/>
      </c>
      <c r="X125" s="3" t="inlineStr"/>
      <c r="Y125" s="5" t="inlineStr"/>
    </row>
    <row r="126">
      <c r="A126" s="2" t="n">
        <v>46225.8506712963</v>
      </c>
      <c r="B126" s="3" t="inlineStr">
        <is>
          <t>Deepak Al Suwaidi</t>
        </is>
      </c>
      <c r="C126" s="3" t="inlineStr">
        <is>
          <t>+971 58 000 0125</t>
        </is>
      </c>
      <c r="D126" s="3" t="inlineStr">
        <is>
          <t>deepak.al.suwaidi125@example.com</t>
        </is>
      </c>
      <c r="E126" s="3" t="inlineStr">
        <is>
          <t>Al Ain</t>
        </is>
      </c>
      <c r="F126" s="3" t="inlineStr">
        <is>
          <t>general_maintenance</t>
        </is>
      </c>
      <c r="G126" s="3" t="inlineStr">
        <is>
          <t>en</t>
        </is>
      </c>
      <c r="H126" s="3" t="inlineStr">
        <is>
          <t>portal</t>
        </is>
      </c>
      <c r="I126" s="4" t="n">
        <v>5</v>
      </c>
      <c r="J126" s="4" t="n">
        <v>5</v>
      </c>
      <c r="K126" s="3" t="inlineStr">
        <is>
          <t>yes</t>
        </is>
      </c>
      <c r="L126" s="4" t="n">
        <v>10</v>
      </c>
      <c r="M126" s="5" t="inlineStr">
        <is>
          <t>Price, quality and communication were all good. I will not go anywhere else.</t>
        </is>
      </c>
      <c r="N126" s="4" t="n">
        <v>5</v>
      </c>
      <c r="O126" s="4" t="n">
        <v>5</v>
      </c>
      <c r="P126" s="4" t="n">
        <v>5</v>
      </c>
      <c r="Q126" s="4" t="n">
        <v>4</v>
      </c>
      <c r="R126" s="4" t="n">
        <v>5</v>
      </c>
      <c r="S126" s="4" t="n">
        <v>5</v>
      </c>
      <c r="T126" s="6">
        <f>ROUND(AVERAGE(I126:J126),2)</f>
        <v/>
      </c>
      <c r="U126" s="6">
        <f>ROUND(AVERAGE(N126:S126),2)</f>
        <v/>
      </c>
      <c r="V126" s="7">
        <f>IF(L126&gt;=9,"promoter",IF(L126&gt;=7,"passive","detractor"))</f>
        <v/>
      </c>
      <c r="W126" s="8">
        <f>IF(OR(V126="detractor",K126&lt;&gt;"yes"),1,0)</f>
        <v/>
      </c>
      <c r="X126" s="3" t="inlineStr"/>
      <c r="Y126" s="5" t="inlineStr"/>
    </row>
    <row r="127">
      <c r="A127" s="2" t="n">
        <v>46226.37340277778</v>
      </c>
      <c r="B127" s="3" t="inlineStr">
        <is>
          <t>Fatima Verma</t>
        </is>
      </c>
      <c r="C127" s="3" t="inlineStr">
        <is>
          <t>+971 50 000 0126</t>
        </is>
      </c>
      <c r="D127" s="3" t="inlineStr">
        <is>
          <t>fatima.verma126@example.com</t>
        </is>
      </c>
      <c r="E127" s="3" t="inlineStr">
        <is>
          <t>Dubai</t>
        </is>
      </c>
      <c r="F127" s="3" t="inlineStr">
        <is>
          <t>general_maintenance</t>
        </is>
      </c>
      <c r="G127" s="3" t="inlineStr">
        <is>
          <t>en</t>
        </is>
      </c>
      <c r="H127" s="3" t="inlineStr">
        <is>
          <t>link</t>
        </is>
      </c>
      <c r="I127" s="4" t="n">
        <v>4</v>
      </c>
      <c r="J127" s="4" t="n">
        <v>5</v>
      </c>
      <c r="K127" s="3" t="inlineStr">
        <is>
          <t>yes</t>
        </is>
      </c>
      <c r="L127" s="4" t="n">
        <v>10</v>
      </c>
      <c r="M127" s="5" t="inlineStr">
        <is>
          <t>Very satisfied — the invoice was itemised and every line was explained.</t>
        </is>
      </c>
      <c r="N127" s="4" t="n">
        <v>3</v>
      </c>
      <c r="O127" s="4" t="n">
        <v>4</v>
      </c>
      <c r="P127" s="4" t="n">
        <v>3</v>
      </c>
      <c r="Q127" s="4" t="n">
        <v>4</v>
      </c>
      <c r="R127" s="4" t="n">
        <v>4</v>
      </c>
      <c r="S127" s="4" t="n">
        <v>4</v>
      </c>
      <c r="T127" s="6">
        <f>ROUND(AVERAGE(I127:J127),2)</f>
        <v/>
      </c>
      <c r="U127" s="6">
        <f>ROUND(AVERAGE(N127:S127),2)</f>
        <v/>
      </c>
      <c r="V127" s="7">
        <f>IF(L127&gt;=9,"promoter",IF(L127&gt;=7,"passive","detractor"))</f>
        <v/>
      </c>
      <c r="W127" s="8">
        <f>IF(OR(V127="detractor",K127&lt;&gt;"yes"),1,0)</f>
        <v/>
      </c>
      <c r="X127" s="3" t="inlineStr"/>
      <c r="Y127" s="5" t="inlineStr"/>
    </row>
    <row r="128">
      <c r="A128" s="2" t="n">
        <v>46226.42153935185</v>
      </c>
      <c r="B128" s="3" t="inlineStr">
        <is>
          <t>Usman Sharma</t>
        </is>
      </c>
      <c r="C128" s="3" t="inlineStr">
        <is>
          <t>+971 58 000 0127</t>
        </is>
      </c>
      <c r="D128" s="3" t="inlineStr">
        <is>
          <t>usman.sharma127@example.com</t>
        </is>
      </c>
      <c r="E128" s="3" t="inlineStr">
        <is>
          <t>Abu Dhabi</t>
        </is>
      </c>
      <c r="F128" s="3" t="inlineStr">
        <is>
          <t>electrical</t>
        </is>
      </c>
      <c r="G128" s="3" t="inlineStr">
        <is>
          <t>en</t>
        </is>
      </c>
      <c r="H128" s="3" t="inlineStr">
        <is>
          <t>link</t>
        </is>
      </c>
      <c r="I128" s="4" t="n">
        <v>3</v>
      </c>
      <c r="J128" s="4" t="n">
        <v>3</v>
      </c>
      <c r="K128" s="3" t="inlineStr">
        <is>
          <t>partially</t>
        </is>
      </c>
      <c r="L128" s="4" t="n">
        <v>3</v>
      </c>
      <c r="M128" s="5" t="inlineStr">
        <is>
          <t>Very expensive for the work done, and the problem is still not fully fixed.</t>
        </is>
      </c>
      <c r="N128" s="4" t="n">
        <v>1</v>
      </c>
      <c r="O128" s="4" t="n">
        <v>1</v>
      </c>
      <c r="P128" s="4" t="n">
        <v>1</v>
      </c>
      <c r="Q128" s="4" t="n">
        <v>2</v>
      </c>
      <c r="R128" s="4" t="n">
        <v>2</v>
      </c>
      <c r="S128" s="4" t="n">
        <v>1</v>
      </c>
      <c r="T128" s="6">
        <f>ROUND(AVERAGE(I128:J128),2)</f>
        <v/>
      </c>
      <c r="U128" s="6">
        <f>ROUND(AVERAGE(N128:S128),2)</f>
        <v/>
      </c>
      <c r="V128" s="7">
        <f>IF(L128&gt;=9,"promoter",IF(L128&gt;=7,"passive","detractor"))</f>
        <v/>
      </c>
      <c r="W128" s="8">
        <f>IF(OR(V128="detractor",K128&lt;&gt;"yes"),1,0)</f>
        <v/>
      </c>
      <c r="X128" s="2" t="n">
        <v>46228.42153935185</v>
      </c>
      <c r="Y128" s="5" t="inlineStr">
        <is>
          <t>Discussed the quote variance with the customer; the extra labour line was waived.</t>
        </is>
      </c>
    </row>
    <row r="129">
      <c r="A129" s="2" t="n">
        <v>46226.42391203704</v>
      </c>
      <c r="B129" s="3" t="inlineStr">
        <is>
          <t>Amal Joseph</t>
        </is>
      </c>
      <c r="C129" s="3" t="inlineStr">
        <is>
          <t>+971 50 000 0128</t>
        </is>
      </c>
      <c r="D129" s="3" t="inlineStr">
        <is>
          <t>amal.joseph128@example.com</t>
        </is>
      </c>
      <c r="E129" s="3" t="inlineStr">
        <is>
          <t>Dubai</t>
        </is>
      </c>
      <c r="F129" s="3" t="inlineStr">
        <is>
          <t>oil_change</t>
        </is>
      </c>
      <c r="G129" s="3" t="inlineStr">
        <is>
          <t>en</t>
        </is>
      </c>
      <c r="H129" s="3" t="inlineStr">
        <is>
          <t>portal</t>
        </is>
      </c>
      <c r="I129" s="4" t="n">
        <v>5</v>
      </c>
      <c r="J129" s="4" t="n">
        <v>5</v>
      </c>
      <c r="K129" s="3" t="inlineStr">
        <is>
          <t>partially</t>
        </is>
      </c>
      <c r="L129" s="4" t="n">
        <v>10</v>
      </c>
      <c r="M129" s="5" t="inlineStr">
        <is>
          <t>Car came back washed and vacuumed. Small thing, but it shows they care.</t>
        </is>
      </c>
      <c r="N129" s="4" t="n">
        <v>4</v>
      </c>
      <c r="O129" s="4" t="n">
        <v>5</v>
      </c>
      <c r="P129" s="4" t="n">
        <v>5</v>
      </c>
      <c r="Q129" s="4" t="n">
        <v>5</v>
      </c>
      <c r="R129" s="4" t="n">
        <v>5</v>
      </c>
      <c r="S129" s="4" t="n">
        <v>5</v>
      </c>
      <c r="T129" s="6">
        <f>ROUND(AVERAGE(I129:J129),2)</f>
        <v/>
      </c>
      <c r="U129" s="6">
        <f>ROUND(AVERAGE(N129:S129),2)</f>
        <v/>
      </c>
      <c r="V129" s="7">
        <f>IF(L129&gt;=9,"promoter",IF(L129&gt;=7,"passive","detractor"))</f>
        <v/>
      </c>
      <c r="W129" s="8">
        <f>IF(OR(V129="detractor",K129&lt;&gt;"yes"),1,0)</f>
        <v/>
      </c>
      <c r="X129" s="2" t="n">
        <v>46228.67391203704</v>
      </c>
      <c r="Y129" s="5" t="inlineStr">
        <is>
          <t>Discussed the quote variance with the customer; the extra labour line was waived.</t>
        </is>
      </c>
    </row>
    <row r="130">
      <c r="A130" s="2" t="n">
        <v>46226.44508101852</v>
      </c>
      <c r="B130" s="3" t="inlineStr">
        <is>
          <t>Anil Al Hammadi</t>
        </is>
      </c>
      <c r="C130" s="3" t="inlineStr">
        <is>
          <t>+971 54 000 0129</t>
        </is>
      </c>
      <c r="D130" s="3" t="inlineStr">
        <is>
          <t>anil.al.hammadi129@example.com</t>
        </is>
      </c>
      <c r="E130" s="3" t="inlineStr">
        <is>
          <t>Sharjah</t>
        </is>
      </c>
      <c r="F130" s="3" t="inlineStr">
        <is>
          <t>engine_repair</t>
        </is>
      </c>
      <c r="G130" s="3" t="inlineStr">
        <is>
          <t>ar</t>
        </is>
      </c>
      <c r="H130" s="3" t="inlineStr">
        <is>
          <t>qr</t>
        </is>
      </c>
      <c r="I130" s="4" t="n">
        <v>5</v>
      </c>
      <c r="J130" s="4" t="n">
        <v>4</v>
      </c>
      <c r="K130" s="3" t="inlineStr">
        <is>
          <t>yes</t>
        </is>
      </c>
      <c r="L130" s="4" t="n">
        <v>9</v>
      </c>
      <c r="M130" s="5" t="inlineStr">
        <is>
          <t>الموظفون محترمون ويشرحون كل شيء بالتفصيل. سأعود مرة أخرى بالتأكيد.</t>
        </is>
      </c>
      <c r="N130" s="4" t="n">
        <v>5</v>
      </c>
      <c r="O130" s="4" t="n">
        <v>5</v>
      </c>
      <c r="P130" s="4" t="n">
        <v>4</v>
      </c>
      <c r="Q130" s="4" t="n">
        <v>5</v>
      </c>
      <c r="R130" s="4" t="n">
        <v>5</v>
      </c>
      <c r="S130" s="4" t="n">
        <v>5</v>
      </c>
      <c r="T130" s="6">
        <f>ROUND(AVERAGE(I130:J130),2)</f>
        <v/>
      </c>
      <c r="U130" s="6">
        <f>ROUND(AVERAGE(N130:S130),2)</f>
        <v/>
      </c>
      <c r="V130" s="7">
        <f>IF(L130&gt;=9,"promoter",IF(L130&gt;=7,"passive","detractor"))</f>
        <v/>
      </c>
      <c r="W130" s="8">
        <f>IF(OR(V130="detractor",K130&lt;&gt;"yes"),1,0)</f>
        <v/>
      </c>
      <c r="X130" s="3" t="inlineStr"/>
      <c r="Y130" s="5" t="inlineStr"/>
    </row>
    <row r="131">
      <c r="A131" s="2" t="n">
        <v>46226.47533564815</v>
      </c>
      <c r="B131" s="3" t="inlineStr">
        <is>
          <t>Ariel Reyes</t>
        </is>
      </c>
      <c r="C131" s="3" t="inlineStr">
        <is>
          <t>+971 50 000 0130</t>
        </is>
      </c>
      <c r="D131" s="3" t="inlineStr">
        <is>
          <t>ariel.reyes130@example.com</t>
        </is>
      </c>
      <c r="E131" s="3" t="inlineStr">
        <is>
          <t>Abu Dhabi</t>
        </is>
      </c>
      <c r="F131" s="3" t="inlineStr">
        <is>
          <t>bodywork</t>
        </is>
      </c>
      <c r="G131" s="3" t="inlineStr">
        <is>
          <t>en</t>
        </is>
      </c>
      <c r="H131" s="3" t="inlineStr">
        <is>
          <t>link</t>
        </is>
      </c>
      <c r="I131" s="4" t="n">
        <v>4</v>
      </c>
      <c r="J131" s="4" t="n">
        <v>4</v>
      </c>
      <c r="K131" s="3" t="inlineStr">
        <is>
          <t>yes</t>
        </is>
      </c>
      <c r="L131" s="4" t="n">
        <v>8</v>
      </c>
      <c r="M131" s="5" t="inlineStr">
        <is>
          <t>The repair is good. I only wish they had cleaned the interior after the body repair.</t>
        </is>
      </c>
      <c r="N131" s="4" t="n">
        <v>3</v>
      </c>
      <c r="O131" s="4" t="n">
        <v>5</v>
      </c>
      <c r="P131" s="4" t="n">
        <v>4</v>
      </c>
      <c r="Q131" s="4" t="n">
        <v>4</v>
      </c>
      <c r="R131" s="4" t="n">
        <v>3</v>
      </c>
      <c r="S131" s="4" t="n">
        <v>5</v>
      </c>
      <c r="T131" s="6">
        <f>ROUND(AVERAGE(I131:J131),2)</f>
        <v/>
      </c>
      <c r="U131" s="6">
        <f>ROUND(AVERAGE(N131:S131),2)</f>
        <v/>
      </c>
      <c r="V131" s="7">
        <f>IF(L131&gt;=9,"promoter",IF(L131&gt;=7,"passive","detractor"))</f>
        <v/>
      </c>
      <c r="W131" s="8">
        <f>IF(OR(V131="detractor",K131&lt;&gt;"yes"),1,0)</f>
        <v/>
      </c>
      <c r="X131" s="3" t="inlineStr"/>
      <c r="Y131" s="5" t="inlineStr"/>
    </row>
    <row r="132">
      <c r="A132" s="2" t="n">
        <v>46226.52962962963</v>
      </c>
      <c r="B132" s="3" t="inlineStr">
        <is>
          <t>Adnan Nair</t>
        </is>
      </c>
      <c r="C132" s="3" t="inlineStr">
        <is>
          <t>+971 56 000 0131</t>
        </is>
      </c>
      <c r="D132" s="3" t="inlineStr">
        <is>
          <t>adnan.nair131@example.com</t>
        </is>
      </c>
      <c r="E132" s="3" t="inlineStr">
        <is>
          <t>Sharjah</t>
        </is>
      </c>
      <c r="F132" s="3" t="inlineStr">
        <is>
          <t>oil_change</t>
        </is>
      </c>
      <c r="G132" s="3" t="inlineStr">
        <is>
          <t>en</t>
        </is>
      </c>
      <c r="H132" s="3" t="inlineStr">
        <is>
          <t>qr</t>
        </is>
      </c>
      <c r="I132" s="4" t="n">
        <v>1</v>
      </c>
      <c r="J132" s="4" t="n">
        <v>2</v>
      </c>
      <c r="K132" s="3" t="inlineStr">
        <is>
          <t>no</t>
        </is>
      </c>
      <c r="L132" s="4" t="n">
        <v>4</v>
      </c>
      <c r="M132" s="5" t="inlineStr">
        <is>
          <t>the oil and filter change had to be redone because the same fault came back within a week.</t>
        </is>
      </c>
      <c r="N132" s="4" t="n">
        <v>3</v>
      </c>
      <c r="O132" s="4" t="n">
        <v>2</v>
      </c>
      <c r="P132" s="4" t="n">
        <v>3</v>
      </c>
      <c r="Q132" s="4" t="n">
        <v>3</v>
      </c>
      <c r="R132" s="4" t="n">
        <v>3</v>
      </c>
      <c r="S132" s="4" t="n">
        <v>3</v>
      </c>
      <c r="T132" s="6">
        <f>ROUND(AVERAGE(I132:J132),2)</f>
        <v/>
      </c>
      <c r="U132" s="6">
        <f>ROUND(AVERAGE(N132:S132),2)</f>
        <v/>
      </c>
      <c r="V132" s="7">
        <f>IF(L132&gt;=9,"promoter",IF(L132&gt;=7,"passive","detractor"))</f>
        <v/>
      </c>
      <c r="W132" s="8">
        <f>IF(OR(V132="detractor",K132&lt;&gt;"yes"),1,0)</f>
        <v/>
      </c>
      <c r="X132" s="2" t="n">
        <v>46228.40462962963</v>
      </c>
      <c r="Y132" s="5" t="inlineStr">
        <is>
          <t>Reached the customer on the second attempt. Car brought back in and the fault rectified under warranty.</t>
        </is>
      </c>
    </row>
    <row r="133">
      <c r="A133" s="2" t="n">
        <v>46226.73537037037</v>
      </c>
      <c r="B133" s="3" t="inlineStr">
        <is>
          <t>Emma Harrison</t>
        </is>
      </c>
      <c r="C133" s="3" t="inlineStr">
        <is>
          <t>+971 52 000 0132</t>
        </is>
      </c>
      <c r="D133" s="3" t="inlineStr">
        <is>
          <t>emma.harrison132@example.com</t>
        </is>
      </c>
      <c r="E133" s="3" t="inlineStr">
        <is>
          <t>Abu Dhabi</t>
        </is>
      </c>
      <c r="F133" s="3" t="inlineStr">
        <is>
          <t>electrical</t>
        </is>
      </c>
      <c r="G133" s="3" t="inlineStr">
        <is>
          <t>en</t>
        </is>
      </c>
      <c r="H133" s="3" t="inlineStr">
        <is>
          <t>link</t>
        </is>
      </c>
      <c r="I133" s="4" t="n">
        <v>5</v>
      </c>
      <c r="J133" s="4" t="n">
        <v>5</v>
      </c>
      <c r="K133" s="3" t="inlineStr">
        <is>
          <t>yes</t>
        </is>
      </c>
      <c r="L133" s="4" t="n">
        <v>10</v>
      </c>
      <c r="M133" s="5" t="inlineStr">
        <is>
          <t>Honest team — they told me one part I expected to replace was still fine.</t>
        </is>
      </c>
      <c r="N133" s="4" t="n">
        <v>5</v>
      </c>
      <c r="O133" s="4" t="n">
        <v>5</v>
      </c>
      <c r="P133" s="4" t="n">
        <v>5</v>
      </c>
      <c r="Q133" s="4" t="n">
        <v>5</v>
      </c>
      <c r="R133" s="4" t="n">
        <v>5</v>
      </c>
      <c r="S133" s="4" t="n">
        <v>5</v>
      </c>
      <c r="T133" s="6">
        <f>ROUND(AVERAGE(I133:J133),2)</f>
        <v/>
      </c>
      <c r="U133" s="6">
        <f>ROUND(AVERAGE(N133:S133),2)</f>
        <v/>
      </c>
      <c r="V133" s="7">
        <f>IF(L133&gt;=9,"promoter",IF(L133&gt;=7,"passive","detractor"))</f>
        <v/>
      </c>
      <c r="W133" s="8">
        <f>IF(OR(V133="detractor",K133&lt;&gt;"yes"),1,0)</f>
        <v/>
      </c>
      <c r="X133" s="3" t="inlineStr"/>
      <c r="Y133" s="5" t="inlineStr"/>
    </row>
    <row r="134">
      <c r="A134" s="2" t="n">
        <v>46226.75508101852</v>
      </c>
      <c r="B134" s="3" t="inlineStr">
        <is>
          <t>Omar Iyer</t>
        </is>
      </c>
      <c r="C134" s="3" t="inlineStr">
        <is>
          <t>+971 54 000 0133</t>
        </is>
      </c>
      <c r="D134" s="3" t="inlineStr">
        <is>
          <t>omar.iyer133@example.com</t>
        </is>
      </c>
      <c r="E134" s="3" t="inlineStr">
        <is>
          <t>Dubai</t>
        </is>
      </c>
      <c r="F134" s="3" t="inlineStr">
        <is>
          <t>brake_repair</t>
        </is>
      </c>
      <c r="G134" s="3" t="inlineStr">
        <is>
          <t>ar</t>
        </is>
      </c>
      <c r="H134" s="3" t="inlineStr">
        <is>
          <t>link</t>
        </is>
      </c>
      <c r="I134" s="4" t="n">
        <v>4</v>
      </c>
      <c r="J134" s="4" t="n">
        <v>4</v>
      </c>
      <c r="K134" s="3" t="inlineStr">
        <is>
          <t>yes</t>
        </is>
      </c>
      <c r="L134" s="4" t="n">
        <v>10</v>
      </c>
      <c r="M134" s="5" t="inlineStr">
        <is>
          <t>أفضل ورشة تعاملت معها. العمل متقن والأسعار معقولة.</t>
        </is>
      </c>
      <c r="N134" s="4" t="n">
        <v>4</v>
      </c>
      <c r="O134" s="4" t="n">
        <v>4</v>
      </c>
      <c r="P134" s="4" t="n">
        <v>5</v>
      </c>
      <c r="Q134" s="4" t="n">
        <v>5</v>
      </c>
      <c r="R134" s="4" t="n">
        <v>4</v>
      </c>
      <c r="S134" s="4" t="n">
        <v>4</v>
      </c>
      <c r="T134" s="6">
        <f>ROUND(AVERAGE(I134:J134),2)</f>
        <v/>
      </c>
      <c r="U134" s="6">
        <f>ROUND(AVERAGE(N134:S134),2)</f>
        <v/>
      </c>
      <c r="V134" s="7">
        <f>IF(L134&gt;=9,"promoter",IF(L134&gt;=7,"passive","detractor"))</f>
        <v/>
      </c>
      <c r="W134" s="8">
        <f>IF(OR(V134="detractor",K134&lt;&gt;"yes"),1,0)</f>
        <v/>
      </c>
      <c r="X134" s="3" t="inlineStr"/>
      <c r="Y134" s="5" t="inlineStr"/>
    </row>
    <row r="135">
      <c r="A135" s="2" t="n">
        <v>46226.85855324074</v>
      </c>
      <c r="B135" s="3" t="inlineStr">
        <is>
          <t>Vijay Sullivan</t>
        </is>
      </c>
      <c r="C135" s="3" t="inlineStr">
        <is>
          <t>+971 54 000 0134</t>
        </is>
      </c>
      <c r="D135" s="3" t="inlineStr">
        <is>
          <t>vijay.sullivan134@example.com</t>
        </is>
      </c>
      <c r="E135" s="3" t="inlineStr">
        <is>
          <t>Abu Dhabi</t>
        </is>
      </c>
      <c r="F135" s="3" t="inlineStr">
        <is>
          <t>tire_service</t>
        </is>
      </c>
      <c r="G135" s="3" t="inlineStr">
        <is>
          <t>en</t>
        </is>
      </c>
      <c r="H135" s="3" t="inlineStr">
        <is>
          <t>link</t>
        </is>
      </c>
      <c r="I135" s="4" t="n">
        <v>4</v>
      </c>
      <c r="J135" s="4" t="n">
        <v>5</v>
      </c>
      <c r="K135" s="3" t="inlineStr">
        <is>
          <t>yes</t>
        </is>
      </c>
      <c r="L135" s="4" t="n">
        <v>10</v>
      </c>
      <c r="M135" s="5" t="inlineStr">
        <is>
          <t>Reception called me twice with updates without me having to chase them.</t>
        </is>
      </c>
      <c r="N135" s="4" t="n">
        <v>4</v>
      </c>
      <c r="O135" s="4" t="n">
        <v>4</v>
      </c>
      <c r="P135" s="4" t="n">
        <v>4</v>
      </c>
      <c r="Q135" s="4" t="n">
        <v>3</v>
      </c>
      <c r="R135" s="4" t="n">
        <v>3</v>
      </c>
      <c r="S135" s="4" t="n">
        <v>4</v>
      </c>
      <c r="T135" s="6">
        <f>ROUND(AVERAGE(I135:J135),2)</f>
        <v/>
      </c>
      <c r="U135" s="6">
        <f>ROUND(AVERAGE(N135:S135),2)</f>
        <v/>
      </c>
      <c r="V135" s="7">
        <f>IF(L135&gt;=9,"promoter",IF(L135&gt;=7,"passive","detractor"))</f>
        <v/>
      </c>
      <c r="W135" s="8">
        <f>IF(OR(V135="detractor",K135&lt;&gt;"yes"),1,0)</f>
        <v/>
      </c>
      <c r="X135" s="3" t="inlineStr"/>
      <c r="Y135" s="5" t="inlineStr"/>
    </row>
    <row r="136">
      <c r="A136" s="2" t="n">
        <v>46227.80543981482</v>
      </c>
      <c r="B136" s="3" t="inlineStr">
        <is>
          <t>Faisal Pillai</t>
        </is>
      </c>
      <c r="C136" s="3" t="inlineStr">
        <is>
          <t>+971 54 000 0135</t>
        </is>
      </c>
      <c r="D136" s="3" t="inlineStr">
        <is>
          <t>faisal.pillai135@example.com</t>
        </is>
      </c>
      <c r="E136" s="3" t="inlineStr">
        <is>
          <t>Sharjah</t>
        </is>
      </c>
      <c r="F136" s="3" t="inlineStr">
        <is>
          <t>diagnostic</t>
        </is>
      </c>
      <c r="G136" s="3" t="inlineStr">
        <is>
          <t>en</t>
        </is>
      </c>
      <c r="H136" s="3" t="inlineStr">
        <is>
          <t>link</t>
        </is>
      </c>
      <c r="I136" s="4" t="n">
        <v>1</v>
      </c>
      <c r="J136" s="4" t="n">
        <v>2</v>
      </c>
      <c r="K136" s="3" t="inlineStr">
        <is>
          <t>partially</t>
        </is>
      </c>
      <c r="L136" s="4" t="n">
        <v>0</v>
      </c>
      <c r="M136" s="5" t="inlineStr">
        <is>
          <t>Wrong part was ordered, which added three days, and no one offered any explanation.</t>
        </is>
      </c>
      <c r="N136" s="4" t="n">
        <v>3</v>
      </c>
      <c r="O136" s="4" t="n">
        <v>2</v>
      </c>
      <c r="P136" s="4" t="n">
        <v>1</v>
      </c>
      <c r="Q136" s="4" t="n">
        <v>2</v>
      </c>
      <c r="R136" s="4" t="n">
        <v>2</v>
      </c>
      <c r="S136" s="4" t="n">
        <v>2</v>
      </c>
      <c r="T136" s="6">
        <f>ROUND(AVERAGE(I136:J136),2)</f>
        <v/>
      </c>
      <c r="U136" s="6">
        <f>ROUND(AVERAGE(N136:S136),2)</f>
        <v/>
      </c>
      <c r="V136" s="7">
        <f>IF(L136&gt;=9,"promoter",IF(L136&gt;=7,"passive","detractor"))</f>
        <v/>
      </c>
      <c r="W136" s="8">
        <f>IF(OR(V136="detractor",K136&lt;&gt;"yes"),1,0)</f>
        <v/>
      </c>
      <c r="X136" s="2" t="n">
        <v>46229.43043981482</v>
      </c>
      <c r="Y136" s="5" t="inlineStr">
        <is>
          <t>Reached the customer on the second attempt. Car brought back in and the fault rectified under warranty.</t>
        </is>
      </c>
    </row>
    <row r="137">
      <c r="A137" s="2" t="n">
        <v>46228.34686342593</v>
      </c>
      <c r="B137" s="3" t="inlineStr">
        <is>
          <t>Jomon Rehman</t>
        </is>
      </c>
      <c r="C137" s="3" t="inlineStr">
        <is>
          <t>+971 56 000 0136</t>
        </is>
      </c>
      <c r="D137" s="3" t="inlineStr">
        <is>
          <t>jomon.rehman136@example.com</t>
        </is>
      </c>
      <c r="E137" s="3" t="inlineStr">
        <is>
          <t>Sharjah</t>
        </is>
      </c>
      <c r="F137" s="3" t="inlineStr">
        <is>
          <t>electrical</t>
        </is>
      </c>
      <c r="G137" s="3" t="inlineStr">
        <is>
          <t>en</t>
        </is>
      </c>
      <c r="H137" s="3" t="inlineStr">
        <is>
          <t>link</t>
        </is>
      </c>
      <c r="I137" s="4" t="n">
        <v>3</v>
      </c>
      <c r="J137" s="4" t="n">
        <v>1</v>
      </c>
      <c r="K137" s="3" t="inlineStr">
        <is>
          <t>no</t>
        </is>
      </c>
      <c r="L137" s="4" t="n">
        <v>6</v>
      </c>
      <c r="M137" s="5" t="inlineStr">
        <is>
          <t>Booked an appointment and still waited two hours before anyone looked at the car.</t>
        </is>
      </c>
      <c r="N137" s="4" t="n">
        <v>4</v>
      </c>
      <c r="O137" s="4" t="n">
        <v>4</v>
      </c>
      <c r="P137" s="4" t="n">
        <v>2</v>
      </c>
      <c r="Q137" s="4" t="n">
        <v>4</v>
      </c>
      <c r="R137" s="4" t="n">
        <v>3</v>
      </c>
      <c r="S137" s="4" t="n">
        <v>3</v>
      </c>
      <c r="T137" s="6">
        <f>ROUND(AVERAGE(I137:J137),2)</f>
        <v/>
      </c>
      <c r="U137" s="6">
        <f>ROUND(AVERAGE(N137:S137),2)</f>
        <v/>
      </c>
      <c r="V137" s="7">
        <f>IF(L137&gt;=9,"promoter",IF(L137&gt;=7,"passive","detractor"))</f>
        <v/>
      </c>
      <c r="W137" s="8">
        <f>IF(OR(V137="detractor",K137&lt;&gt;"yes"),1,0)</f>
        <v/>
      </c>
      <c r="X137" s="2" t="n">
        <v>46230.68019675926</v>
      </c>
      <c r="Y137" s="5" t="inlineStr">
        <is>
          <t>Called the customer, apologised for the delay and booked a free re-check.</t>
        </is>
      </c>
    </row>
    <row r="138">
      <c r="A138" s="2" t="n">
        <v>46228.38178240741</v>
      </c>
      <c r="B138" s="3" t="inlineStr">
        <is>
          <t>Vinu Malik</t>
        </is>
      </c>
      <c r="C138" s="3" t="inlineStr">
        <is>
          <t>+971 54 000 0137</t>
        </is>
      </c>
      <c r="D138" s="3" t="inlineStr">
        <is>
          <t>vinu.malik137@example.com</t>
        </is>
      </c>
      <c r="E138" s="3" t="inlineStr">
        <is>
          <t>Abu Dhabi</t>
        </is>
      </c>
      <c r="F138" s="3" t="inlineStr">
        <is>
          <t>oil_change</t>
        </is>
      </c>
      <c r="G138" s="3" t="inlineStr">
        <is>
          <t>en</t>
        </is>
      </c>
      <c r="H138" s="3" t="inlineStr">
        <is>
          <t>qr</t>
        </is>
      </c>
      <c r="I138" s="4" t="n">
        <v>4</v>
      </c>
      <c r="J138" s="4" t="n">
        <v>4</v>
      </c>
      <c r="K138" s="3" t="inlineStr">
        <is>
          <t>partially</t>
        </is>
      </c>
      <c r="L138" s="4" t="n">
        <v>7</v>
      </c>
      <c r="M138" s="5" t="inlineStr">
        <is>
          <t>Solid work. The branch could use more staff at the service desk in the mornings.</t>
        </is>
      </c>
      <c r="N138" s="4" t="n">
        <v>4</v>
      </c>
      <c r="O138" s="4" t="n">
        <v>3</v>
      </c>
      <c r="P138" s="4" t="n">
        <v>4</v>
      </c>
      <c r="Q138" s="4" t="n">
        <v>5</v>
      </c>
      <c r="R138" s="4" t="n">
        <v>4</v>
      </c>
      <c r="S138" s="4" t="n">
        <v>4</v>
      </c>
      <c r="T138" s="6">
        <f>ROUND(AVERAGE(I138:J138),2)</f>
        <v/>
      </c>
      <c r="U138" s="6">
        <f>ROUND(AVERAGE(N138:S138),2)</f>
        <v/>
      </c>
      <c r="V138" s="7">
        <f>IF(L138&gt;=9,"promoter",IF(L138&gt;=7,"passive","detractor"))</f>
        <v/>
      </c>
      <c r="W138" s="8">
        <f>IF(OR(V138="detractor",K138&lt;&gt;"yes"),1,0)</f>
        <v/>
      </c>
      <c r="X138" s="2" t="n">
        <v>46230.59011574074</v>
      </c>
      <c r="Y138" s="5" t="inlineStr">
        <is>
          <t>Spoke to the customer; the diagnostic fee was refunded and the job re-opened.</t>
        </is>
      </c>
    </row>
    <row r="139">
      <c r="A139" s="2" t="n">
        <v>46228.57164351852</v>
      </c>
      <c r="B139" s="3" t="inlineStr">
        <is>
          <t>Andrew Al Marzouqi</t>
        </is>
      </c>
      <c r="C139" s="3" t="inlineStr">
        <is>
          <t>+971 55 000 0138</t>
        </is>
      </c>
      <c r="D139" s="3" t="inlineStr">
        <is>
          <t>andrew.al.marzouqi138@example.com</t>
        </is>
      </c>
      <c r="E139" s="3" t="inlineStr">
        <is>
          <t>Dubai</t>
        </is>
      </c>
      <c r="F139" s="3" t="inlineStr">
        <is>
          <t>electrical</t>
        </is>
      </c>
      <c r="G139" s="3" t="inlineStr">
        <is>
          <t>en</t>
        </is>
      </c>
      <c r="H139" s="3" t="inlineStr">
        <is>
          <t>qr</t>
        </is>
      </c>
      <c r="I139" s="4" t="n">
        <v>5</v>
      </c>
      <c r="J139" s="4" t="n">
        <v>5</v>
      </c>
      <c r="K139" s="3" t="inlineStr">
        <is>
          <t>yes</t>
        </is>
      </c>
      <c r="L139" s="4" t="n">
        <v>10</v>
      </c>
      <c r="M139" s="5" t="inlineStr">
        <is>
          <t>Quick, clean and reasonably priced. the electrical fault was exactly what I asked for.</t>
        </is>
      </c>
      <c r="N139" s="4" t="n">
        <v>5</v>
      </c>
      <c r="O139" s="4" t="n">
        <v>5</v>
      </c>
      <c r="P139" s="4" t="n">
        <v>5</v>
      </c>
      <c r="Q139" s="4" t="n">
        <v>5</v>
      </c>
      <c r="R139" s="4" t="n">
        <v>4</v>
      </c>
      <c r="S139" s="4" t="n">
        <v>5</v>
      </c>
      <c r="T139" s="6">
        <f>ROUND(AVERAGE(I139:J139),2)</f>
        <v/>
      </c>
      <c r="U139" s="6">
        <f>ROUND(AVERAGE(N139:S139),2)</f>
        <v/>
      </c>
      <c r="V139" s="7">
        <f>IF(L139&gt;=9,"promoter",IF(L139&gt;=7,"passive","detractor"))</f>
        <v/>
      </c>
      <c r="W139" s="8">
        <f>IF(OR(V139="detractor",K139&lt;&gt;"yes"),1,0)</f>
        <v/>
      </c>
      <c r="X139" s="3" t="inlineStr"/>
      <c r="Y139" s="5" t="inlineStr"/>
    </row>
    <row r="140">
      <c r="A140" s="2" t="n">
        <v>46228.58591435185</v>
      </c>
      <c r="B140" s="3" t="inlineStr">
        <is>
          <t>Mariam Marsh</t>
        </is>
      </c>
      <c r="C140" s="3" t="inlineStr">
        <is>
          <t>+971 52 000 0139</t>
        </is>
      </c>
      <c r="D140" s="3" t="inlineStr">
        <is>
          <t>mariam.marsh139@example.com</t>
        </is>
      </c>
      <c r="E140" s="3" t="inlineStr">
        <is>
          <t>Al Ain</t>
        </is>
      </c>
      <c r="F140" s="3" t="inlineStr">
        <is>
          <t>oil_change</t>
        </is>
      </c>
      <c r="G140" s="3" t="inlineStr">
        <is>
          <t>en</t>
        </is>
      </c>
      <c r="H140" s="3" t="inlineStr">
        <is>
          <t>qr</t>
        </is>
      </c>
      <c r="I140" s="4" t="n">
        <v>2</v>
      </c>
      <c r="J140" s="4" t="n">
        <v>3</v>
      </c>
      <c r="K140" s="3" t="inlineStr">
        <is>
          <t>partially</t>
        </is>
      </c>
      <c r="L140" s="4" t="n">
        <v>6</v>
      </c>
      <c r="M140" s="5" t="inlineStr">
        <is>
          <t>Car was kept for four days for a job quoted at one. Nobody explained the delay.</t>
        </is>
      </c>
      <c r="N140" s="4" t="n">
        <v>1</v>
      </c>
      <c r="O140" s="4" t="n">
        <v>1</v>
      </c>
      <c r="P140" s="4" t="n">
        <v>1</v>
      </c>
      <c r="Q140" s="4" t="n">
        <v>1</v>
      </c>
      <c r="R140" s="4" t="n">
        <v>2</v>
      </c>
      <c r="S140" s="4" t="n">
        <v>1</v>
      </c>
      <c r="T140" s="6">
        <f>ROUND(AVERAGE(I140:J140),2)</f>
        <v/>
      </c>
      <c r="U140" s="6">
        <f>ROUND(AVERAGE(N140:S140),2)</f>
        <v/>
      </c>
      <c r="V140" s="7">
        <f>IF(L140&gt;=9,"promoter",IF(L140&gt;=7,"passive","detractor"))</f>
        <v/>
      </c>
      <c r="W140" s="8">
        <f>IF(OR(V140="detractor",K140&lt;&gt;"yes"),1,0)</f>
        <v/>
      </c>
      <c r="X140" s="2" t="n">
        <v>46231.41924768518</v>
      </c>
      <c r="Y140" s="5" t="inlineStr">
        <is>
          <t>Spoke to the customer; the diagnostic fee was refunded and the job re-opened.</t>
        </is>
      </c>
    </row>
    <row r="141">
      <c r="A141" s="2" t="n">
        <v>46228.60126157408</v>
      </c>
      <c r="B141" s="3" t="inlineStr">
        <is>
          <t>Jomon Rehman</t>
        </is>
      </c>
      <c r="C141" s="3" t="inlineStr">
        <is>
          <t>+971 50 000 0140</t>
        </is>
      </c>
      <c r="D141" s="3" t="inlineStr">
        <is>
          <t>jomon.rehman140@example.com</t>
        </is>
      </c>
      <c r="E141" s="3" t="inlineStr">
        <is>
          <t>Abu Dhabi</t>
        </is>
      </c>
      <c r="F141" s="3" t="inlineStr">
        <is>
          <t>general_maintenance</t>
        </is>
      </c>
      <c r="G141" s="3" t="inlineStr">
        <is>
          <t>en</t>
        </is>
      </c>
      <c r="H141" s="3" t="inlineStr">
        <is>
          <t>link</t>
        </is>
      </c>
      <c r="I141" s="4" t="n">
        <v>4</v>
      </c>
      <c r="J141" s="4" t="n">
        <v>4</v>
      </c>
      <c r="K141" s="3" t="inlineStr">
        <is>
          <t>yes</t>
        </is>
      </c>
      <c r="L141" s="4" t="n">
        <v>8</v>
      </c>
      <c r="M141" s="5" t="inlineStr">
        <is>
          <t>Overall okay. Slightly expensive for what was done, but the work looks sound.</t>
        </is>
      </c>
      <c r="N141" s="4" t="n">
        <v>4</v>
      </c>
      <c r="O141" s="4" t="n">
        <v>4</v>
      </c>
      <c r="P141" s="4" t="n">
        <v>5</v>
      </c>
      <c r="Q141" s="4" t="n">
        <v>5</v>
      </c>
      <c r="R141" s="4" t="n">
        <v>4</v>
      </c>
      <c r="S141" s="4" t="n">
        <v>5</v>
      </c>
      <c r="T141" s="6">
        <f>ROUND(AVERAGE(I141:J141),2)</f>
        <v/>
      </c>
      <c r="U141" s="6">
        <f>ROUND(AVERAGE(N141:S141),2)</f>
        <v/>
      </c>
      <c r="V141" s="7">
        <f>IF(L141&gt;=9,"promoter",IF(L141&gt;=7,"passive","detractor"))</f>
        <v/>
      </c>
      <c r="W141" s="8">
        <f>IF(OR(V141="detractor",K141&lt;&gt;"yes"),1,0)</f>
        <v/>
      </c>
      <c r="X141" s="3" t="inlineStr"/>
      <c r="Y141" s="5" t="inlineStr"/>
    </row>
    <row r="142">
      <c r="A142" s="2" t="n">
        <v>46228.75152777778</v>
      </c>
      <c r="B142" s="3" t="inlineStr">
        <is>
          <t>Vijay Whitfield</t>
        </is>
      </c>
      <c r="C142" s="3" t="inlineStr">
        <is>
          <t>+971 56 000 0141</t>
        </is>
      </c>
      <c r="D142" s="3" t="inlineStr">
        <is>
          <t>vijay.whitfield141@example.com</t>
        </is>
      </c>
      <c r="E142" s="3" t="inlineStr">
        <is>
          <t>Abu Dhabi</t>
        </is>
      </c>
      <c r="F142" s="3" t="inlineStr">
        <is>
          <t>engine_repair</t>
        </is>
      </c>
      <c r="G142" s="3" t="inlineStr">
        <is>
          <t>en</t>
        </is>
      </c>
      <c r="H142" s="3" t="inlineStr">
        <is>
          <t>link</t>
        </is>
      </c>
      <c r="I142" s="4" t="n">
        <v>4</v>
      </c>
      <c r="J142" s="4" t="n">
        <v>4</v>
      </c>
      <c r="K142" s="3" t="inlineStr">
        <is>
          <t>yes</t>
        </is>
      </c>
      <c r="L142" s="4" t="n">
        <v>7</v>
      </c>
      <c r="M142" s="5" t="inlineStr">
        <is>
          <t>the engine repair was done well but I waited longer than the time I was given at drop-off.</t>
        </is>
      </c>
      <c r="N142" s="4" t="n">
        <v>3</v>
      </c>
      <c r="O142" s="4" t="n">
        <v>3</v>
      </c>
      <c r="P142" s="4" t="n">
        <v>3</v>
      </c>
      <c r="Q142" s="4" t="n">
        <v>3</v>
      </c>
      <c r="R142" s="4" t="n">
        <v>3</v>
      </c>
      <c r="S142" s="4" t="n">
        <v>3</v>
      </c>
      <c r="T142" s="6">
        <f>ROUND(AVERAGE(I142:J142),2)</f>
        <v/>
      </c>
      <c r="U142" s="6">
        <f>ROUND(AVERAGE(N142:S142),2)</f>
        <v/>
      </c>
      <c r="V142" s="7">
        <f>IF(L142&gt;=9,"promoter",IF(L142&gt;=7,"passive","detractor"))</f>
        <v/>
      </c>
      <c r="W142" s="8">
        <f>IF(OR(V142="detractor",K142&lt;&gt;"yes"),1,0)</f>
        <v/>
      </c>
      <c r="X142" s="3" t="inlineStr"/>
      <c r="Y142" s="5" t="inlineStr"/>
    </row>
    <row r="143">
      <c r="A143" s="2" t="n">
        <v>46229.38479166666</v>
      </c>
      <c r="B143" s="3" t="inlineStr">
        <is>
          <t>Divya Chandran</t>
        </is>
      </c>
      <c r="C143" s="3" t="inlineStr">
        <is>
          <t>+971 55 000 0142</t>
        </is>
      </c>
      <c r="D143" s="3" t="inlineStr">
        <is>
          <t>divya.chandran142@example.com</t>
        </is>
      </c>
      <c r="E143" s="3" t="inlineStr">
        <is>
          <t>Sharjah</t>
        </is>
      </c>
      <c r="F143" s="3" t="inlineStr">
        <is>
          <t>engine_repair</t>
        </is>
      </c>
      <c r="G143" s="3" t="inlineStr">
        <is>
          <t>en</t>
        </is>
      </c>
      <c r="H143" s="3" t="inlineStr">
        <is>
          <t>link</t>
        </is>
      </c>
      <c r="I143" s="4" t="n">
        <v>1</v>
      </c>
      <c r="J143" s="4" t="n">
        <v>2</v>
      </c>
      <c r="K143" s="3" t="inlineStr">
        <is>
          <t>no</t>
        </is>
      </c>
      <c r="L143" s="4" t="n">
        <v>5</v>
      </c>
      <c r="M143" s="5" t="inlineStr">
        <is>
          <t>Found a new scratch on the door at collection and was told it was already there.</t>
        </is>
      </c>
      <c r="N143" s="4" t="n">
        <v>2</v>
      </c>
      <c r="O143" s="4" t="n">
        <v>1</v>
      </c>
      <c r="P143" s="4" t="n">
        <v>3</v>
      </c>
      <c r="Q143" s="4" t="n">
        <v>2</v>
      </c>
      <c r="R143" s="4" t="n">
        <v>2</v>
      </c>
      <c r="S143" s="4" t="n">
        <v>1</v>
      </c>
      <c r="T143" s="6">
        <f>ROUND(AVERAGE(I143:J143),2)</f>
        <v/>
      </c>
      <c r="U143" s="6">
        <f>ROUND(AVERAGE(N143:S143),2)</f>
        <v/>
      </c>
      <c r="V143" s="7">
        <f>IF(L143&gt;=9,"promoter",IF(L143&gt;=7,"passive","detractor"))</f>
        <v/>
      </c>
      <c r="W143" s="8">
        <f>IF(OR(V143="detractor",K143&lt;&gt;"yes"),1,0)</f>
        <v/>
      </c>
      <c r="X143" s="2" t="n">
        <v>46231.38479166666</v>
      </c>
      <c r="Y143" s="5" t="inlineStr">
        <is>
          <t>Spoke to the customer, valeted the interior free of charge and apologised for the condition at handover.</t>
        </is>
      </c>
    </row>
    <row r="144">
      <c r="A144" s="2" t="n">
        <v>46229.3947800926</v>
      </c>
      <c r="B144" s="3" t="inlineStr">
        <is>
          <t>Waleed Khan</t>
        </is>
      </c>
      <c r="C144" s="3" t="inlineStr">
        <is>
          <t>+971 52 000 0143</t>
        </is>
      </c>
      <c r="D144" s="3" t="inlineStr">
        <is>
          <t>waleed.khan143@example.com</t>
        </is>
      </c>
      <c r="E144" s="3" t="inlineStr">
        <is>
          <t>Abu Dhabi</t>
        </is>
      </c>
      <c r="F144" s="3" t="inlineStr">
        <is>
          <t>bodywork</t>
        </is>
      </c>
      <c r="G144" s="3" t="inlineStr">
        <is>
          <t>en</t>
        </is>
      </c>
      <c r="H144" s="3" t="inlineStr">
        <is>
          <t>qr</t>
        </is>
      </c>
      <c r="I144" s="4" t="n">
        <v>4</v>
      </c>
      <c r="J144" s="4" t="n">
        <v>3</v>
      </c>
      <c r="K144" s="3" t="inlineStr">
        <is>
          <t>yes</t>
        </is>
      </c>
      <c r="L144" s="4" t="n">
        <v>7</v>
      </c>
      <c r="M144" s="5" t="inlineStr">
        <is>
          <t>Happy with the outcome, less happy with the hour I spent waiting to hand over the keys.</t>
        </is>
      </c>
      <c r="N144" s="4" t="n">
        <v>5</v>
      </c>
      <c r="O144" s="4" t="n">
        <v>4</v>
      </c>
      <c r="P144" s="4" t="n">
        <v>4</v>
      </c>
      <c r="Q144" s="4" t="n">
        <v>3</v>
      </c>
      <c r="R144" s="4" t="n">
        <v>3</v>
      </c>
      <c r="S144" s="4" t="n">
        <v>3</v>
      </c>
      <c r="T144" s="6">
        <f>ROUND(AVERAGE(I144:J144),2)</f>
        <v/>
      </c>
      <c r="U144" s="6">
        <f>ROUND(AVERAGE(N144:S144),2)</f>
        <v/>
      </c>
      <c r="V144" s="7">
        <f>IF(L144&gt;=9,"promoter",IF(L144&gt;=7,"passive","detractor"))</f>
        <v/>
      </c>
      <c r="W144" s="8">
        <f>IF(OR(V144="detractor",K144&lt;&gt;"yes"),1,0)</f>
        <v/>
      </c>
      <c r="X144" s="3" t="inlineStr"/>
      <c r="Y144" s="5" t="inlineStr"/>
    </row>
    <row r="145">
      <c r="A145" s="2" t="n">
        <v>46229.46167824074</v>
      </c>
      <c r="B145" s="3" t="inlineStr">
        <is>
          <t>James Mensah</t>
        </is>
      </c>
      <c r="C145" s="3" t="inlineStr">
        <is>
          <t>+971 55 000 0144</t>
        </is>
      </c>
      <c r="D145" s="3" t="inlineStr">
        <is>
          <t>james.mensah144@example.com</t>
        </is>
      </c>
      <c r="E145" s="3" t="inlineStr">
        <is>
          <t>Al Ain</t>
        </is>
      </c>
      <c r="F145" s="3" t="inlineStr">
        <is>
          <t>oil_change</t>
        </is>
      </c>
      <c r="G145" s="3" t="inlineStr">
        <is>
          <t>en</t>
        </is>
      </c>
      <c r="H145" s="3" t="inlineStr">
        <is>
          <t>qr</t>
        </is>
      </c>
      <c r="I145" s="4" t="n">
        <v>5</v>
      </c>
      <c r="J145" s="4" t="n">
        <v>5</v>
      </c>
      <c r="K145" s="3" t="inlineStr">
        <is>
          <t>yes</t>
        </is>
      </c>
      <c r="L145" s="4" t="n">
        <v>9</v>
      </c>
      <c r="M145" s="5" t="inlineStr">
        <is>
          <t>The service advisor explained exactly what the oil and filter change needed and what could wait. No pressure to spend more.</t>
        </is>
      </c>
      <c r="N145" s="4" t="n">
        <v>5</v>
      </c>
      <c r="O145" s="4" t="n">
        <v>5</v>
      </c>
      <c r="P145" s="4" t="n">
        <v>5</v>
      </c>
      <c r="Q145" s="4" t="n">
        <v>4</v>
      </c>
      <c r="R145" s="4" t="n">
        <v>4</v>
      </c>
      <c r="S145" s="4" t="n">
        <v>5</v>
      </c>
      <c r="T145" s="6">
        <f>ROUND(AVERAGE(I145:J145),2)</f>
        <v/>
      </c>
      <c r="U145" s="6">
        <f>ROUND(AVERAGE(N145:S145),2)</f>
        <v/>
      </c>
      <c r="V145" s="7">
        <f>IF(L145&gt;=9,"promoter",IF(L145&gt;=7,"passive","detractor"))</f>
        <v/>
      </c>
      <c r="W145" s="8">
        <f>IF(OR(V145="detractor",K145&lt;&gt;"yes"),1,0)</f>
        <v/>
      </c>
      <c r="X145" s="3" t="inlineStr"/>
      <c r="Y145" s="5" t="inlineStr"/>
    </row>
    <row r="146">
      <c r="A146" s="2" t="n">
        <v>46229.68606481481</v>
      </c>
      <c r="B146" s="3" t="inlineStr">
        <is>
          <t>Mohammed Varghese</t>
        </is>
      </c>
      <c r="C146" s="3" t="inlineStr">
        <is>
          <t>+971 56 000 0145</t>
        </is>
      </c>
      <c r="D146" s="3" t="inlineStr">
        <is>
          <t>mohammed.varghese145@example.com</t>
        </is>
      </c>
      <c r="E146" s="3" t="inlineStr">
        <is>
          <t>Sharjah</t>
        </is>
      </c>
      <c r="F146" s="3" t="inlineStr">
        <is>
          <t>oil_change</t>
        </is>
      </c>
      <c r="G146" s="3" t="inlineStr">
        <is>
          <t>en</t>
        </is>
      </c>
      <c r="H146" s="3" t="inlineStr">
        <is>
          <t>link</t>
        </is>
      </c>
      <c r="I146" s="4" t="n">
        <v>4</v>
      </c>
      <c r="J146" s="4" t="n">
        <v>4</v>
      </c>
      <c r="K146" s="3" t="inlineStr">
        <is>
          <t>yes</t>
        </is>
      </c>
      <c r="L146" s="4" t="n">
        <v>8</v>
      </c>
      <c r="M146" s="5" t="inlineStr">
        <is>
          <t>the oil and filter change was handled properly. The follow-up on the second issue I raised never came.</t>
        </is>
      </c>
      <c r="N146" s="4" t="n">
        <v>4</v>
      </c>
      <c r="O146" s="4" t="n">
        <v>3</v>
      </c>
      <c r="P146" s="4" t="n">
        <v>3</v>
      </c>
      <c r="Q146" s="4" t="n">
        <v>3</v>
      </c>
      <c r="R146" s="4" t="n">
        <v>3</v>
      </c>
      <c r="S146" s="4" t="n">
        <v>4</v>
      </c>
      <c r="T146" s="6">
        <f>ROUND(AVERAGE(I146:J146),2)</f>
        <v/>
      </c>
      <c r="U146" s="6">
        <f>ROUND(AVERAGE(N146:S146),2)</f>
        <v/>
      </c>
      <c r="V146" s="7">
        <f>IF(L146&gt;=9,"promoter",IF(L146&gt;=7,"passive","detractor"))</f>
        <v/>
      </c>
      <c r="W146" s="8">
        <f>IF(OR(V146="detractor",K146&lt;&gt;"yes"),1,0)</f>
        <v/>
      </c>
      <c r="X146" s="3" t="inlineStr"/>
      <c r="Y146" s="5" t="inlineStr"/>
    </row>
    <row r="147">
      <c r="A147" s="2" t="n">
        <v>46229.73546296296</v>
      </c>
      <c r="B147" s="3" t="inlineStr">
        <is>
          <t>Cristina Al Mansoori</t>
        </is>
      </c>
      <c r="C147" s="3" t="inlineStr">
        <is>
          <t>+971 56 000 0146</t>
        </is>
      </c>
      <c r="D147" s="3" t="inlineStr">
        <is>
          <t>cristina.al.mansoori146@example.com</t>
        </is>
      </c>
      <c r="E147" s="3" t="inlineStr">
        <is>
          <t>Sharjah</t>
        </is>
      </c>
      <c r="F147" s="3" t="inlineStr">
        <is>
          <t>other</t>
        </is>
      </c>
      <c r="G147" s="3" t="inlineStr">
        <is>
          <t>en</t>
        </is>
      </c>
      <c r="H147" s="3" t="inlineStr">
        <is>
          <t>link</t>
        </is>
      </c>
      <c r="I147" s="4" t="n">
        <v>4</v>
      </c>
      <c r="J147" s="4" t="n">
        <v>4</v>
      </c>
      <c r="K147" s="3" t="inlineStr">
        <is>
          <t>yes</t>
        </is>
      </c>
      <c r="L147" s="4" t="n">
        <v>7</v>
      </c>
      <c r="M147" s="5" t="inlineStr">
        <is>
          <t>Satisfied with the repair itself, though the final bill was a little above the estimate.</t>
        </is>
      </c>
      <c r="N147" s="4" t="n">
        <v>4</v>
      </c>
      <c r="O147" s="4" t="n">
        <v>4</v>
      </c>
      <c r="P147" s="4" t="n">
        <v>5</v>
      </c>
      <c r="Q147" s="4" t="n">
        <v>4</v>
      </c>
      <c r="R147" s="4" t="n">
        <v>5</v>
      </c>
      <c r="S147" s="4" t="n">
        <v>4</v>
      </c>
      <c r="T147" s="6">
        <f>ROUND(AVERAGE(I147:J147),2)</f>
        <v/>
      </c>
      <c r="U147" s="6">
        <f>ROUND(AVERAGE(N147:S147),2)</f>
        <v/>
      </c>
      <c r="V147" s="7">
        <f>IF(L147&gt;=9,"promoter",IF(L147&gt;=7,"passive","detractor"))</f>
        <v/>
      </c>
      <c r="W147" s="8">
        <f>IF(OR(V147="detractor",K147&lt;&gt;"yes"),1,0)</f>
        <v/>
      </c>
      <c r="X147" s="3" t="inlineStr"/>
      <c r="Y147" s="5" t="inlineStr"/>
    </row>
    <row r="148">
      <c r="A148" s="2" t="n">
        <v>46229.76289351852</v>
      </c>
      <c r="B148" s="3" t="inlineStr">
        <is>
          <t>Rowena Al Hosani</t>
        </is>
      </c>
      <c r="C148" s="3" t="inlineStr">
        <is>
          <t>+971 58 000 0147</t>
        </is>
      </c>
      <c r="D148" s="3" t="inlineStr">
        <is>
          <t>rowena.al.hosani147@example.com</t>
        </is>
      </c>
      <c r="E148" s="3" t="inlineStr">
        <is>
          <t>Abu Dhabi</t>
        </is>
      </c>
      <c r="F148" s="3" t="inlineStr">
        <is>
          <t>diagnostic</t>
        </is>
      </c>
      <c r="G148" s="3" t="inlineStr">
        <is>
          <t>en</t>
        </is>
      </c>
      <c r="H148" s="3" t="inlineStr">
        <is>
          <t>qr</t>
        </is>
      </c>
      <c r="I148" s="4" t="n">
        <v>5</v>
      </c>
      <c r="J148" s="4" t="n">
        <v>5</v>
      </c>
      <c r="K148" s="3" t="inlineStr">
        <is>
          <t>yes</t>
        </is>
      </c>
      <c r="L148" s="4" t="n">
        <v>10</v>
      </c>
      <c r="M148" s="5" t="inlineStr">
        <is>
          <t>I have been coming here for three years. the diagnostic check is always done right the first time.</t>
        </is>
      </c>
      <c r="N148" s="4" t="n">
        <v>5</v>
      </c>
      <c r="O148" s="4" t="n">
        <v>5</v>
      </c>
      <c r="P148" s="4" t="n">
        <v>5</v>
      </c>
      <c r="Q148" s="4" t="n">
        <v>4</v>
      </c>
      <c r="R148" s="4" t="n">
        <v>5</v>
      </c>
      <c r="S148" s="4" t="n">
        <v>4</v>
      </c>
      <c r="T148" s="6">
        <f>ROUND(AVERAGE(I148:J148),2)</f>
        <v/>
      </c>
      <c r="U148" s="6">
        <f>ROUND(AVERAGE(N148:S148),2)</f>
        <v/>
      </c>
      <c r="V148" s="7">
        <f>IF(L148&gt;=9,"promoter",IF(L148&gt;=7,"passive","detractor"))</f>
        <v/>
      </c>
      <c r="W148" s="8">
        <f>IF(OR(V148="detractor",K148&lt;&gt;"yes"),1,0)</f>
        <v/>
      </c>
      <c r="X148" s="3" t="inlineStr"/>
      <c r="Y148" s="5" t="inlineStr"/>
    </row>
    <row r="149">
      <c r="A149" s="2" t="n">
        <v>46230.53850694445</v>
      </c>
      <c r="B149" s="3" t="inlineStr">
        <is>
          <t>Daniel Aquino</t>
        </is>
      </c>
      <c r="C149" s="3" t="inlineStr">
        <is>
          <t>+971 55 000 0148</t>
        </is>
      </c>
      <c r="D149" s="3" t="inlineStr">
        <is>
          <t>daniel.aquino148@example.com</t>
        </is>
      </c>
      <c r="E149" s="3" t="inlineStr">
        <is>
          <t>Dubai</t>
        </is>
      </c>
      <c r="F149" s="3" t="inlineStr">
        <is>
          <t>bodywork</t>
        </is>
      </c>
      <c r="G149" s="3" t="inlineStr">
        <is>
          <t>en</t>
        </is>
      </c>
      <c r="H149" s="3" t="inlineStr">
        <is>
          <t>link</t>
        </is>
      </c>
      <c r="I149" s="4" t="n">
        <v>4</v>
      </c>
      <c r="J149" s="4" t="n">
        <v>4</v>
      </c>
      <c r="K149" s="3" t="inlineStr">
        <is>
          <t>yes</t>
        </is>
      </c>
      <c r="L149" s="4" t="n">
        <v>7</v>
      </c>
      <c r="M149" s="5" t="inlineStr">
        <is>
          <t>Satisfied with the repair itself, though the final bill was a little above the estimate.</t>
        </is>
      </c>
      <c r="N149" s="4" t="n">
        <v>4</v>
      </c>
      <c r="O149" s="4" t="n">
        <v>3</v>
      </c>
      <c r="P149" s="4" t="n">
        <v>3</v>
      </c>
      <c r="Q149" s="4" t="n">
        <v>3</v>
      </c>
      <c r="R149" s="4" t="n">
        <v>3</v>
      </c>
      <c r="S149" s="4" t="n">
        <v>3</v>
      </c>
      <c r="T149" s="6">
        <f>ROUND(AVERAGE(I149:J149),2)</f>
        <v/>
      </c>
      <c r="U149" s="6">
        <f>ROUND(AVERAGE(N149:S149),2)</f>
        <v/>
      </c>
      <c r="V149" s="7">
        <f>IF(L149&gt;=9,"promoter",IF(L149&gt;=7,"passive","detractor"))</f>
        <v/>
      </c>
      <c r="W149" s="8">
        <f>IF(OR(V149="detractor",K149&lt;&gt;"yes"),1,0)</f>
        <v/>
      </c>
      <c r="X149" s="3" t="inlineStr"/>
      <c r="Y149" s="5" t="inlineStr"/>
    </row>
    <row r="150">
      <c r="A150" s="2" t="n">
        <v>46230.58141203703</v>
      </c>
      <c r="B150" s="3" t="inlineStr">
        <is>
          <t>Vinu Aquino</t>
        </is>
      </c>
      <c r="C150" s="3" t="inlineStr">
        <is>
          <t>+971 56 000 0149</t>
        </is>
      </c>
      <c r="D150" s="3" t="inlineStr">
        <is>
          <t>vinu.aquino149@example.com</t>
        </is>
      </c>
      <c r="E150" s="3" t="inlineStr">
        <is>
          <t>Al Ain</t>
        </is>
      </c>
      <c r="F150" s="3" t="inlineStr">
        <is>
          <t>oil_change</t>
        </is>
      </c>
      <c r="G150" s="3" t="inlineStr">
        <is>
          <t>en</t>
        </is>
      </c>
      <c r="H150" s="3" t="inlineStr">
        <is>
          <t>portal</t>
        </is>
      </c>
      <c r="I150" s="4" t="n">
        <v>5</v>
      </c>
      <c r="J150" s="4" t="n">
        <v>5</v>
      </c>
      <c r="K150" s="3" t="inlineStr">
        <is>
          <t>yes</t>
        </is>
      </c>
      <c r="L150" s="4" t="n">
        <v>10</v>
      </c>
      <c r="M150" s="5" t="inlineStr">
        <is>
          <t>Pick-up and drop-off made it easy to get the oil and filter change done without taking leave from work.</t>
        </is>
      </c>
      <c r="N150" s="4" t="n">
        <v>5</v>
      </c>
      <c r="O150" s="4" t="n">
        <v>5</v>
      </c>
      <c r="P150" s="4" t="n">
        <v>5</v>
      </c>
      <c r="Q150" s="4" t="n">
        <v>5</v>
      </c>
      <c r="R150" s="4" t="n">
        <v>4</v>
      </c>
      <c r="S150" s="4" t="n">
        <v>4</v>
      </c>
      <c r="T150" s="6">
        <f>ROUND(AVERAGE(I150:J150),2)</f>
        <v/>
      </c>
      <c r="U150" s="6">
        <f>ROUND(AVERAGE(N150:S150),2)</f>
        <v/>
      </c>
      <c r="V150" s="7">
        <f>IF(L150&gt;=9,"promoter",IF(L150&gt;=7,"passive","detractor"))</f>
        <v/>
      </c>
      <c r="W150" s="8">
        <f>IF(OR(V150="detractor",K150&lt;&gt;"yes"),1,0)</f>
        <v/>
      </c>
      <c r="X150" s="3" t="inlineStr"/>
      <c r="Y150" s="5" t="inlineStr"/>
    </row>
    <row r="151">
      <c r="A151" s="2" t="n">
        <v>46230.70451388889</v>
      </c>
      <c r="B151" s="3" t="inlineStr">
        <is>
          <t>Anil Reddy</t>
        </is>
      </c>
      <c r="C151" s="3" t="inlineStr">
        <is>
          <t>+971 52 000 0150</t>
        </is>
      </c>
      <c r="D151" s="3" t="inlineStr">
        <is>
          <t>anil.reddy150@example.com</t>
        </is>
      </c>
      <c r="E151" s="3" t="inlineStr">
        <is>
          <t>Al Ain</t>
        </is>
      </c>
      <c r="F151" s="3" t="inlineStr">
        <is>
          <t>general_maintenance</t>
        </is>
      </c>
      <c r="G151" s="3" t="inlineStr">
        <is>
          <t>en</t>
        </is>
      </c>
      <c r="H151" s="3" t="inlineStr">
        <is>
          <t>link</t>
        </is>
      </c>
      <c r="I151" s="4" t="n">
        <v>5</v>
      </c>
      <c r="J151" s="4" t="n">
        <v>5</v>
      </c>
      <c r="K151" s="3" t="inlineStr">
        <is>
          <t>yes</t>
        </is>
      </c>
      <c r="L151" s="4" t="n">
        <v>9</v>
      </c>
      <c r="M151" s="5" t="inlineStr">
        <is>
          <t>Very professional from the first call to handover. Nothing to complain about.</t>
        </is>
      </c>
      <c r="N151" s="4" t="n">
        <v>5</v>
      </c>
      <c r="O151" s="4" t="n">
        <v>5</v>
      </c>
      <c r="P151" s="4" t="n">
        <v>5</v>
      </c>
      <c r="Q151" s="4" t="n">
        <v>5</v>
      </c>
      <c r="R151" s="4" t="n">
        <v>5</v>
      </c>
      <c r="S151" s="4" t="n">
        <v>5</v>
      </c>
      <c r="T151" s="6">
        <f>ROUND(AVERAGE(I151:J151),2)</f>
        <v/>
      </c>
      <c r="U151" s="6">
        <f>ROUND(AVERAGE(N151:S151),2)</f>
        <v/>
      </c>
      <c r="V151" s="7">
        <f>IF(L151&gt;=9,"promoter",IF(L151&gt;=7,"passive","detractor"))</f>
        <v/>
      </c>
      <c r="W151" s="8">
        <f>IF(OR(V151="detractor",K151&lt;&gt;"yes"),1,0)</f>
        <v/>
      </c>
      <c r="X151" s="3" t="inlineStr"/>
      <c r="Y151" s="5" t="inlineStr"/>
    </row>
    <row r="152">
      <c r="A152" s="2" t="n">
        <v>46230.79042824074</v>
      </c>
      <c r="B152" s="3" t="inlineStr">
        <is>
          <t>Shalini Al Rashidi</t>
        </is>
      </c>
      <c r="C152" s="3" t="inlineStr">
        <is>
          <t>+971 50 000 0151</t>
        </is>
      </c>
      <c r="D152" s="3" t="inlineStr">
        <is>
          <t>shalini.al.rashidi151@example.com</t>
        </is>
      </c>
      <c r="E152" s="3" t="inlineStr">
        <is>
          <t>Dubai</t>
        </is>
      </c>
      <c r="F152" s="3" t="inlineStr">
        <is>
          <t>oil_change</t>
        </is>
      </c>
      <c r="G152" s="3" t="inlineStr">
        <is>
          <t>en</t>
        </is>
      </c>
      <c r="H152" s="3" t="inlineStr">
        <is>
          <t>link</t>
        </is>
      </c>
      <c r="I152" s="4" t="n">
        <v>5</v>
      </c>
      <c r="J152" s="4" t="n">
        <v>4</v>
      </c>
      <c r="K152" s="3" t="inlineStr">
        <is>
          <t>yes</t>
        </is>
      </c>
      <c r="L152" s="4" t="n">
        <v>10</v>
      </c>
      <c r="M152" s="5" t="inlineStr">
        <is>
          <t>Straightforward, no upselling, and the oil and filter change was completed a day early.</t>
        </is>
      </c>
      <c r="N152" s="4" t="n">
        <v>5</v>
      </c>
      <c r="O152" s="4" t="n">
        <v>5</v>
      </c>
      <c r="P152" s="4" t="n">
        <v>5</v>
      </c>
      <c r="Q152" s="4" t="n">
        <v>5</v>
      </c>
      <c r="R152" s="4" t="n">
        <v>4</v>
      </c>
      <c r="S152" s="4" t="n">
        <v>5</v>
      </c>
      <c r="T152" s="6">
        <f>ROUND(AVERAGE(I152:J152),2)</f>
        <v/>
      </c>
      <c r="U152" s="6">
        <f>ROUND(AVERAGE(N152:S152),2)</f>
        <v/>
      </c>
      <c r="V152" s="7">
        <f>IF(L152&gt;=9,"promoter",IF(L152&gt;=7,"passive","detractor"))</f>
        <v/>
      </c>
      <c r="W152" s="8">
        <f>IF(OR(V152="detractor",K152&lt;&gt;"yes"),1,0)</f>
        <v/>
      </c>
      <c r="X152" s="3" t="inlineStr"/>
      <c r="Y152" s="5" t="inlineStr"/>
    </row>
    <row r="153">
      <c r="A153" s="2" t="n">
        <v>46231.42175925926</v>
      </c>
      <c r="B153" s="3" t="inlineStr">
        <is>
          <t>Waleed Reddy</t>
        </is>
      </c>
      <c r="C153" s="3" t="inlineStr">
        <is>
          <t>+971 50 000 0152</t>
        </is>
      </c>
      <c r="D153" s="3" t="inlineStr">
        <is>
          <t>waleed.reddy152@example.com</t>
        </is>
      </c>
      <c r="E153" s="3" t="inlineStr">
        <is>
          <t>Al Ain</t>
        </is>
      </c>
      <c r="F153" s="3" t="inlineStr">
        <is>
          <t>bodywork</t>
        </is>
      </c>
      <c r="G153" s="3" t="inlineStr">
        <is>
          <t>en</t>
        </is>
      </c>
      <c r="H153" s="3" t="inlineStr">
        <is>
          <t>link</t>
        </is>
      </c>
      <c r="I153" s="4" t="n">
        <v>3</v>
      </c>
      <c r="J153" s="4" t="n">
        <v>3</v>
      </c>
      <c r="K153" s="3" t="inlineStr">
        <is>
          <t>partially</t>
        </is>
      </c>
      <c r="L153" s="4" t="n">
        <v>5</v>
      </c>
      <c r="M153" s="5" t="inlineStr">
        <is>
          <t>Nobody answered the phone for two days while my car was in the workshop.</t>
        </is>
      </c>
      <c r="N153" s="4" t="n">
        <v>3</v>
      </c>
      <c r="O153" s="4" t="n">
        <v>2</v>
      </c>
      <c r="P153" s="4" t="n">
        <v>2</v>
      </c>
      <c r="Q153" s="4" t="n">
        <v>2</v>
      </c>
      <c r="R153" s="4" t="n">
        <v>2</v>
      </c>
      <c r="S153" s="4" t="n">
        <v>3</v>
      </c>
      <c r="T153" s="6">
        <f>ROUND(AVERAGE(I153:J153),2)</f>
        <v/>
      </c>
      <c r="U153" s="6">
        <f>ROUND(AVERAGE(N153:S153),2)</f>
        <v/>
      </c>
      <c r="V153" s="7">
        <f>IF(L153&gt;=9,"promoter",IF(L153&gt;=7,"passive","detractor"))</f>
        <v/>
      </c>
      <c r="W153" s="8">
        <f>IF(OR(V153="detractor",K153&lt;&gt;"yes"),1,0)</f>
        <v/>
      </c>
      <c r="X153" s="2" t="n">
        <v>46233.63009259259</v>
      </c>
      <c r="Y153" s="5" t="inlineStr">
        <is>
          <t>Spoke to the customer; the diagnostic fee was refunded and the job re-opened.</t>
        </is>
      </c>
    </row>
    <row r="154">
      <c r="A154" s="2" t="n">
        <v>46231.42256944445</v>
      </c>
      <c r="B154" s="3" t="inlineStr">
        <is>
          <t>Joselito Al Balushi</t>
        </is>
      </c>
      <c r="C154" s="3" t="inlineStr">
        <is>
          <t>+971 55 000 0153</t>
        </is>
      </c>
      <c r="D154" s="3" t="inlineStr">
        <is>
          <t>joselito.al.balushi153@example.com</t>
        </is>
      </c>
      <c r="E154" s="3" t="inlineStr">
        <is>
          <t>Dubai</t>
        </is>
      </c>
      <c r="F154" s="3" t="inlineStr">
        <is>
          <t>brake_repair</t>
        </is>
      </c>
      <c r="G154" s="3" t="inlineStr">
        <is>
          <t>en</t>
        </is>
      </c>
      <c r="H154" s="3" t="inlineStr">
        <is>
          <t>qr</t>
        </is>
      </c>
      <c r="I154" s="4" t="n">
        <v>5</v>
      </c>
      <c r="J154" s="4" t="n">
        <v>5</v>
      </c>
      <c r="K154" s="3" t="inlineStr">
        <is>
          <t>yes</t>
        </is>
      </c>
      <c r="L154" s="4" t="n">
        <v>10</v>
      </c>
      <c r="M154" s="5" t="inlineStr">
        <is>
          <t>The whole process was easy — booking online, dropping the car, paying by card.</t>
        </is>
      </c>
      <c r="N154" s="4" t="n">
        <v>5</v>
      </c>
      <c r="O154" s="4" t="n">
        <v>5</v>
      </c>
      <c r="P154" s="4" t="n">
        <v>5</v>
      </c>
      <c r="Q154" s="4" t="n">
        <v>5</v>
      </c>
      <c r="R154" s="4" t="n">
        <v>5</v>
      </c>
      <c r="S154" s="4" t="n">
        <v>5</v>
      </c>
      <c r="T154" s="6">
        <f>ROUND(AVERAGE(I154:J154),2)</f>
        <v/>
      </c>
      <c r="U154" s="6">
        <f>ROUND(AVERAGE(N154:S154),2)</f>
        <v/>
      </c>
      <c r="V154" s="7">
        <f>IF(L154&gt;=9,"promoter",IF(L154&gt;=7,"passive","detractor"))</f>
        <v/>
      </c>
      <c r="W154" s="8">
        <f>IF(OR(V154="detractor",K154&lt;&gt;"yes"),1,0)</f>
        <v/>
      </c>
      <c r="X154" s="3" t="inlineStr"/>
      <c r="Y154" s="5" t="inlineStr"/>
    </row>
    <row r="155">
      <c r="A155" s="2" t="n">
        <v>46231.73719907407</v>
      </c>
      <c r="B155" s="3" t="inlineStr">
        <is>
          <t>Vinu Whitfield</t>
        </is>
      </c>
      <c r="C155" s="3" t="inlineStr">
        <is>
          <t>+971 56 000 0154</t>
        </is>
      </c>
      <c r="D155" s="3" t="inlineStr">
        <is>
          <t>vinu.whitfield154@example.com</t>
        </is>
      </c>
      <c r="E155" s="3" t="inlineStr">
        <is>
          <t>Abu Dhabi</t>
        </is>
      </c>
      <c r="F155" s="3" t="inlineStr">
        <is>
          <t>oil_change</t>
        </is>
      </c>
      <c r="G155" s="3" t="inlineStr">
        <is>
          <t>en</t>
        </is>
      </c>
      <c r="H155" s="3" t="inlineStr">
        <is>
          <t>link</t>
        </is>
      </c>
      <c r="I155" s="4" t="n">
        <v>4</v>
      </c>
      <c r="J155" s="4" t="n">
        <v>4</v>
      </c>
      <c r="K155" s="3" t="inlineStr">
        <is>
          <t>yes</t>
        </is>
      </c>
      <c r="L155" s="4" t="n">
        <v>8</v>
      </c>
      <c r="M155" s="5" t="inlineStr">
        <is>
          <t>Decent job on the oil and filter change, but nobody called to say the car was ready — I found out when I arrived.</t>
        </is>
      </c>
      <c r="N155" s="4" t="n">
        <v>3</v>
      </c>
      <c r="O155" s="4" t="n">
        <v>3</v>
      </c>
      <c r="P155" s="4" t="n">
        <v>3</v>
      </c>
      <c r="Q155" s="4" t="n">
        <v>4</v>
      </c>
      <c r="R155" s="4" t="n">
        <v>4</v>
      </c>
      <c r="S155" s="4" t="n">
        <v>4</v>
      </c>
      <c r="T155" s="6">
        <f>ROUND(AVERAGE(I155:J155),2)</f>
        <v/>
      </c>
      <c r="U155" s="6">
        <f>ROUND(AVERAGE(N155:S155),2)</f>
        <v/>
      </c>
      <c r="V155" s="7">
        <f>IF(L155&gt;=9,"promoter",IF(L155&gt;=7,"passive","detractor"))</f>
        <v/>
      </c>
      <c r="W155" s="8">
        <f>IF(OR(V155="detractor",K155&lt;&gt;"yes"),1,0)</f>
        <v/>
      </c>
      <c r="X155" s="3" t="inlineStr"/>
      <c r="Y155" s="5" t="inlineStr"/>
    </row>
    <row r="156">
      <c r="A156" s="2" t="n">
        <v>46231.84255787037</v>
      </c>
      <c r="B156" s="3" t="inlineStr">
        <is>
          <t>Yousef Qureshi</t>
        </is>
      </c>
      <c r="C156" s="3" t="inlineStr">
        <is>
          <t>+971 56 000 0155</t>
        </is>
      </c>
      <c r="D156" s="3" t="inlineStr">
        <is>
          <t>yousef.qureshi155@example.com</t>
        </is>
      </c>
      <c r="E156" s="3" t="inlineStr">
        <is>
          <t>Sharjah</t>
        </is>
      </c>
      <c r="F156" s="3" t="inlineStr">
        <is>
          <t>general_maintenance</t>
        </is>
      </c>
      <c r="G156" s="3" t="inlineStr">
        <is>
          <t>en</t>
        </is>
      </c>
      <c r="H156" s="3" t="inlineStr">
        <is>
          <t>portal</t>
        </is>
      </c>
      <c r="I156" s="4" t="n">
        <v>3</v>
      </c>
      <c r="J156" s="4" t="n">
        <v>3</v>
      </c>
      <c r="K156" s="3" t="inlineStr">
        <is>
          <t>partially</t>
        </is>
      </c>
      <c r="L156" s="4" t="n">
        <v>6</v>
      </c>
      <c r="M156" s="5" t="inlineStr">
        <is>
          <t>Car was returned with a warning light that was not there when I dropped it off.</t>
        </is>
      </c>
      <c r="N156" s="4" t="n">
        <v>3</v>
      </c>
      <c r="O156" s="4" t="n">
        <v>2</v>
      </c>
      <c r="P156" s="4" t="n">
        <v>4</v>
      </c>
      <c r="Q156" s="4" t="n">
        <v>4</v>
      </c>
      <c r="R156" s="4" t="n">
        <v>2</v>
      </c>
      <c r="S156" s="4" t="n">
        <v>3</v>
      </c>
      <c r="T156" s="6">
        <f>ROUND(AVERAGE(I156:J156),2)</f>
        <v/>
      </c>
      <c r="U156" s="6">
        <f>ROUND(AVERAGE(N156:S156),2)</f>
        <v/>
      </c>
      <c r="V156" s="7">
        <f>IF(L156&gt;=9,"promoter",IF(L156&gt;=7,"passive","detractor"))</f>
        <v/>
      </c>
      <c r="W156" s="8">
        <f>IF(OR(V156="detractor",K156&lt;&gt;"yes"),1,0)</f>
        <v/>
      </c>
      <c r="X156" s="2" t="n">
        <v>46233.4258912037</v>
      </c>
      <c r="Y156" s="5" t="inlineStr">
        <is>
          <t>Arranged collection of the vehicle at our cost to re-inspect the complaint.</t>
        </is>
      </c>
    </row>
    <row r="157">
      <c r="A157" s="2" t="n">
        <v>46232.33674768519</v>
      </c>
      <c r="B157" s="3" t="inlineStr">
        <is>
          <t>Binu Collins</t>
        </is>
      </c>
      <c r="C157" s="3" t="inlineStr">
        <is>
          <t>+971 55 000 0156</t>
        </is>
      </c>
      <c r="D157" s="3" t="inlineStr">
        <is>
          <t>binu.collins156@example.com</t>
        </is>
      </c>
      <c r="E157" s="3" t="inlineStr">
        <is>
          <t>Sharjah</t>
        </is>
      </c>
      <c r="F157" s="3" t="inlineStr">
        <is>
          <t>tire_service</t>
        </is>
      </c>
      <c r="G157" s="3" t="inlineStr">
        <is>
          <t>en</t>
        </is>
      </c>
      <c r="H157" s="3" t="inlineStr">
        <is>
          <t>link</t>
        </is>
      </c>
      <c r="I157" s="4" t="n">
        <v>5</v>
      </c>
      <c r="J157" s="4" t="n">
        <v>5</v>
      </c>
      <c r="K157" s="3" t="inlineStr">
        <is>
          <t>yes</t>
        </is>
      </c>
      <c r="L157" s="4" t="n">
        <v>10</v>
      </c>
      <c r="M157" s="5" t="inlineStr">
        <is>
          <t>Second opinion after another garage overcharged me. Pioneer did the tyre work for half and it has been perfect.</t>
        </is>
      </c>
      <c r="N157" s="4" t="n">
        <v>3</v>
      </c>
      <c r="O157" s="4" t="n">
        <v>4</v>
      </c>
      <c r="P157" s="4" t="n">
        <v>4</v>
      </c>
      <c r="Q157" s="4" t="n">
        <v>4</v>
      </c>
      <c r="R157" s="4" t="n">
        <v>3</v>
      </c>
      <c r="S157" s="4" t="n">
        <v>4</v>
      </c>
      <c r="T157" s="6">
        <f>ROUND(AVERAGE(I157:J157),2)</f>
        <v/>
      </c>
      <c r="U157" s="6">
        <f>ROUND(AVERAGE(N157:S157),2)</f>
        <v/>
      </c>
      <c r="V157" s="7">
        <f>IF(L157&gt;=9,"promoter",IF(L157&gt;=7,"passive","detractor"))</f>
        <v/>
      </c>
      <c r="W157" s="8">
        <f>IF(OR(V157="detractor",K157&lt;&gt;"yes"),1,0)</f>
        <v/>
      </c>
      <c r="X157" s="3" t="inlineStr"/>
      <c r="Y157" s="5" t="inlineStr"/>
    </row>
    <row r="158">
      <c r="A158" s="2" t="n">
        <v>46232.73962962963</v>
      </c>
      <c r="B158" s="3" t="inlineStr">
        <is>
          <t>Anita Iqbal</t>
        </is>
      </c>
      <c r="C158" s="3" t="inlineStr">
        <is>
          <t>+971 58 000 0157</t>
        </is>
      </c>
      <c r="D158" s="3" t="inlineStr">
        <is>
          <t>anita.iqbal157@example.com</t>
        </is>
      </c>
      <c r="E158" s="3" t="inlineStr">
        <is>
          <t>Abu Dhabi</t>
        </is>
      </c>
      <c r="F158" s="3" t="inlineStr">
        <is>
          <t>general_maintenance</t>
        </is>
      </c>
      <c r="G158" s="3" t="inlineStr">
        <is>
          <t>en</t>
        </is>
      </c>
      <c r="H158" s="3" t="inlineStr">
        <is>
          <t>portal</t>
        </is>
      </c>
      <c r="I158" s="4" t="n">
        <v>5</v>
      </c>
      <c r="J158" s="4" t="n">
        <v>5</v>
      </c>
      <c r="K158" s="3" t="inlineStr">
        <is>
          <t>yes</t>
        </is>
      </c>
      <c r="L158" s="4" t="n">
        <v>10</v>
      </c>
      <c r="M158" s="5" t="inlineStr">
        <is>
          <t>Fair pricing compared to the agency, and the quality of the routine service was just as good.</t>
        </is>
      </c>
      <c r="N158" s="4" t="n">
        <v>5</v>
      </c>
      <c r="O158" s="4" t="n">
        <v>5</v>
      </c>
      <c r="P158" s="4" t="n">
        <v>5</v>
      </c>
      <c r="Q158" s="4" t="n">
        <v>5</v>
      </c>
      <c r="R158" s="4" t="n">
        <v>5</v>
      </c>
      <c r="S158" s="4" t="n">
        <v>4</v>
      </c>
      <c r="T158" s="6">
        <f>ROUND(AVERAGE(I158:J158),2)</f>
        <v/>
      </c>
      <c r="U158" s="6">
        <f>ROUND(AVERAGE(N158:S158),2)</f>
        <v/>
      </c>
      <c r="V158" s="7">
        <f>IF(L158&gt;=9,"promoter",IF(L158&gt;=7,"passive","detractor"))</f>
        <v/>
      </c>
      <c r="W158" s="8">
        <f>IF(OR(V158="detractor",K158&lt;&gt;"yes"),1,0)</f>
        <v/>
      </c>
      <c r="X158" s="3" t="inlineStr"/>
      <c r="Y158" s="5" t="inlineStr"/>
    </row>
    <row r="159">
      <c r="A159" s="2" t="n">
        <v>46233.41686342593</v>
      </c>
      <c r="B159" s="3" t="inlineStr">
        <is>
          <t>Jomon Joseph</t>
        </is>
      </c>
      <c r="C159" s="3" t="inlineStr">
        <is>
          <t>+971 58 000 0158</t>
        </is>
      </c>
      <c r="D159" s="3" t="inlineStr">
        <is>
          <t>jomon.joseph158@example.com</t>
        </is>
      </c>
      <c r="E159" s="3" t="inlineStr">
        <is>
          <t>Al Ain</t>
        </is>
      </c>
      <c r="F159" s="3" t="inlineStr">
        <is>
          <t>brake_repair</t>
        </is>
      </c>
      <c r="G159" s="3" t="inlineStr">
        <is>
          <t>en</t>
        </is>
      </c>
      <c r="H159" s="3" t="inlineStr">
        <is>
          <t>qr</t>
        </is>
      </c>
      <c r="I159" s="4" t="n">
        <v>4</v>
      </c>
      <c r="J159" s="4" t="n">
        <v>5</v>
      </c>
      <c r="K159" s="3" t="inlineStr">
        <is>
          <t>yes</t>
        </is>
      </c>
      <c r="L159" s="4" t="n">
        <v>9</v>
      </c>
      <c r="M159" s="5" t="inlineStr">
        <is>
          <t>Staff are polite and the workmanship on the brake job is solid. No issues since.</t>
        </is>
      </c>
      <c r="N159" s="4" t="n">
        <v>4</v>
      </c>
      <c r="O159" s="4" t="n">
        <v>5</v>
      </c>
      <c r="P159" s="4" t="n">
        <v>5</v>
      </c>
      <c r="Q159" s="4" t="n">
        <v>5</v>
      </c>
      <c r="R159" s="4" t="n">
        <v>5</v>
      </c>
      <c r="S159" s="4" t="n">
        <v>5</v>
      </c>
      <c r="T159" s="6">
        <f>ROUND(AVERAGE(I159:J159),2)</f>
        <v/>
      </c>
      <c r="U159" s="6">
        <f>ROUND(AVERAGE(N159:S159),2)</f>
        <v/>
      </c>
      <c r="V159" s="7">
        <f>IF(L159&gt;=9,"promoter",IF(L159&gt;=7,"passive","detractor"))</f>
        <v/>
      </c>
      <c r="W159" s="8">
        <f>IF(OR(V159="detractor",K159&lt;&gt;"yes"),1,0)</f>
        <v/>
      </c>
      <c r="X159" s="3" t="inlineStr"/>
      <c r="Y159" s="5" t="inlineStr"/>
    </row>
    <row r="160">
      <c r="A160" s="2" t="n">
        <v>46233.4257175926</v>
      </c>
      <c r="B160" s="3" t="inlineStr">
        <is>
          <t>Rowena Iyer</t>
        </is>
      </c>
      <c r="C160" s="3" t="inlineStr">
        <is>
          <t>+971 50 000 0159</t>
        </is>
      </c>
      <c r="D160" s="3" t="inlineStr">
        <is>
          <t>rowena.iyer159@example.com</t>
        </is>
      </c>
      <c r="E160" s="3" t="inlineStr">
        <is>
          <t>Al Ain</t>
        </is>
      </c>
      <c r="F160" s="3" t="inlineStr">
        <is>
          <t>oil_change</t>
        </is>
      </c>
      <c r="G160" s="3" t="inlineStr">
        <is>
          <t>en</t>
        </is>
      </c>
      <c r="H160" s="3" t="inlineStr">
        <is>
          <t>qr</t>
        </is>
      </c>
      <c r="I160" s="4" t="n">
        <v>3</v>
      </c>
      <c r="J160" s="4" t="n">
        <v>1</v>
      </c>
      <c r="K160" s="3" t="inlineStr">
        <is>
          <t>no</t>
        </is>
      </c>
      <c r="L160" s="4" t="n">
        <v>1</v>
      </c>
      <c r="M160" s="5" t="inlineStr">
        <is>
          <t>Overcharged compared to the quote and the attitude at the desk was dismissive.</t>
        </is>
      </c>
      <c r="N160" s="4" t="n">
        <v>2</v>
      </c>
      <c r="O160" s="4" t="n">
        <v>4</v>
      </c>
      <c r="P160" s="4" t="n">
        <v>3</v>
      </c>
      <c r="Q160" s="4" t="n">
        <v>2</v>
      </c>
      <c r="R160" s="4" t="n">
        <v>2</v>
      </c>
      <c r="S160" s="4" t="n">
        <v>3</v>
      </c>
      <c r="T160" s="6">
        <f>ROUND(AVERAGE(I160:J160),2)</f>
        <v/>
      </c>
      <c r="U160" s="6">
        <f>ROUND(AVERAGE(N160:S160),2)</f>
        <v/>
      </c>
      <c r="V160" s="7">
        <f>IF(L160&gt;=9,"promoter",IF(L160&gt;=7,"passive","detractor"))</f>
        <v/>
      </c>
      <c r="W160" s="8">
        <f>IF(OR(V160="detractor",K160&lt;&gt;"yes"),1,0)</f>
        <v/>
      </c>
      <c r="X160" s="2" t="n">
        <v>46234.6757175926</v>
      </c>
      <c r="Y160" s="5" t="inlineStr">
        <is>
          <t>Discussed the quote variance with the customer; the extra labour line was waived.</t>
        </is>
      </c>
    </row>
    <row r="161">
      <c r="A161" s="2" t="n">
        <v>46233.47833333333</v>
      </c>
      <c r="B161" s="3" t="inlineStr">
        <is>
          <t>Rowena Al Hosani</t>
        </is>
      </c>
      <c r="C161" s="3" t="inlineStr">
        <is>
          <t>+971 54 000 0160</t>
        </is>
      </c>
      <c r="D161" s="3" t="inlineStr">
        <is>
          <t>rowena.al.hosani160@example.com</t>
        </is>
      </c>
      <c r="E161" s="3" t="inlineStr">
        <is>
          <t>Abu Dhabi</t>
        </is>
      </c>
      <c r="F161" s="3" t="inlineStr">
        <is>
          <t>tire_service</t>
        </is>
      </c>
      <c r="G161" s="3" t="inlineStr">
        <is>
          <t>en</t>
        </is>
      </c>
      <c r="H161" s="3" t="inlineStr">
        <is>
          <t>link</t>
        </is>
      </c>
      <c r="I161" s="4" t="n">
        <v>5</v>
      </c>
      <c r="J161" s="4" t="n">
        <v>5</v>
      </c>
      <c r="K161" s="3" t="inlineStr">
        <is>
          <t>yes</t>
        </is>
      </c>
      <c r="L161" s="4" t="n">
        <v>10</v>
      </c>
      <c r="M161" s="5" t="inlineStr">
        <is>
          <t>Waiting area is comfortable and the estimate they gave was accurate to the dirham.</t>
        </is>
      </c>
      <c r="N161" s="4" t="n">
        <v>5</v>
      </c>
      <c r="O161" s="4" t="n">
        <v>5</v>
      </c>
      <c r="P161" s="4" t="n">
        <v>5</v>
      </c>
      <c r="Q161" s="4" t="n">
        <v>5</v>
      </c>
      <c r="R161" s="4" t="n">
        <v>5</v>
      </c>
      <c r="S161" s="4" t="n">
        <v>5</v>
      </c>
      <c r="T161" s="6">
        <f>ROUND(AVERAGE(I161:J161),2)</f>
        <v/>
      </c>
      <c r="U161" s="6">
        <f>ROUND(AVERAGE(N161:S161),2)</f>
        <v/>
      </c>
      <c r="V161" s="7">
        <f>IF(L161&gt;=9,"promoter",IF(L161&gt;=7,"passive","detractor"))</f>
        <v/>
      </c>
      <c r="W161" s="8">
        <f>IF(OR(V161="detractor",K161&lt;&gt;"yes"),1,0)</f>
        <v/>
      </c>
      <c r="X161" s="3" t="inlineStr"/>
      <c r="Y161" s="5" t="inlineStr"/>
    </row>
    <row r="162">
      <c r="A162" s="2" t="n">
        <v>46233.48179398148</v>
      </c>
      <c r="B162" s="3" t="inlineStr">
        <is>
          <t>George Menon</t>
        </is>
      </c>
      <c r="C162" s="3" t="inlineStr">
        <is>
          <t>+971 55 000 0161</t>
        </is>
      </c>
      <c r="D162" s="3" t="inlineStr">
        <is>
          <t>george.menon161@example.com</t>
        </is>
      </c>
      <c r="E162" s="3" t="inlineStr">
        <is>
          <t>Sharjah</t>
        </is>
      </c>
      <c r="F162" s="3" t="inlineStr">
        <is>
          <t>brake_repair</t>
        </is>
      </c>
      <c r="G162" s="3" t="inlineStr">
        <is>
          <t>ar</t>
        </is>
      </c>
      <c r="H162" s="3" t="inlineStr">
        <is>
          <t>qr</t>
        </is>
      </c>
      <c r="I162" s="4" t="n">
        <v>5</v>
      </c>
      <c r="J162" s="4" t="n">
        <v>5</v>
      </c>
      <c r="K162" s="3" t="inlineStr">
        <is>
          <t>yes</t>
        </is>
      </c>
      <c r="L162" s="4" t="n">
        <v>10</v>
      </c>
      <c r="M162" s="5" t="inlineStr">
        <is>
          <t>خدمة ممتازة والسعر مطابق لعرض السعر. تم إنجاز العمل في الوقت المحدد.</t>
        </is>
      </c>
      <c r="N162" s="4" t="n">
        <v>5</v>
      </c>
      <c r="O162" s="4" t="n">
        <v>5</v>
      </c>
      <c r="P162" s="4" t="n">
        <v>5</v>
      </c>
      <c r="Q162" s="4" t="n">
        <v>5</v>
      </c>
      <c r="R162" s="4" t="n">
        <v>5</v>
      </c>
      <c r="S162" s="4" t="n">
        <v>4</v>
      </c>
      <c r="T162" s="6">
        <f>ROUND(AVERAGE(I162:J162),2)</f>
        <v/>
      </c>
      <c r="U162" s="6">
        <f>ROUND(AVERAGE(N162:S162),2)</f>
        <v/>
      </c>
      <c r="V162" s="7">
        <f>IF(L162&gt;=9,"promoter",IF(L162&gt;=7,"passive","detractor"))</f>
        <v/>
      </c>
      <c r="W162" s="8">
        <f>IF(OR(V162="detractor",K162&lt;&gt;"yes"),1,0)</f>
        <v/>
      </c>
      <c r="X162" s="3" t="inlineStr"/>
      <c r="Y162" s="5" t="inlineStr"/>
    </row>
    <row r="163">
      <c r="A163" s="2" t="n">
        <v>46233.82244212963</v>
      </c>
      <c r="B163" s="3" t="inlineStr">
        <is>
          <t>Daniel Nair</t>
        </is>
      </c>
      <c r="C163" s="3" t="inlineStr">
        <is>
          <t>+971 58 000 0162</t>
        </is>
      </c>
      <c r="D163" s="3" t="inlineStr">
        <is>
          <t>daniel.nair162@example.com</t>
        </is>
      </c>
      <c r="E163" s="3" t="inlineStr">
        <is>
          <t>Dubai</t>
        </is>
      </c>
      <c r="F163" s="3" t="inlineStr">
        <is>
          <t>brake_repair</t>
        </is>
      </c>
      <c r="G163" s="3" t="inlineStr">
        <is>
          <t>en</t>
        </is>
      </c>
      <c r="H163" s="3" t="inlineStr">
        <is>
          <t>link</t>
        </is>
      </c>
      <c r="I163" s="4" t="n">
        <v>5</v>
      </c>
      <c r="J163" s="4" t="n">
        <v>5</v>
      </c>
      <c r="K163" s="3" t="inlineStr">
        <is>
          <t>yes</t>
        </is>
      </c>
      <c r="L163" s="4" t="n">
        <v>9</v>
      </c>
      <c r="M163" s="5" t="inlineStr">
        <is>
          <t>Very clean workshop and the staff actually listen. the brake job was finished ahead of the time they promised.</t>
        </is>
      </c>
      <c r="N163" s="4" t="n">
        <v>5</v>
      </c>
      <c r="O163" s="4" t="n">
        <v>5</v>
      </c>
      <c r="P163" s="4" t="n">
        <v>5</v>
      </c>
      <c r="Q163" s="4" t="n">
        <v>4</v>
      </c>
      <c r="R163" s="4" t="n">
        <v>4</v>
      </c>
      <c r="S163" s="4" t="n">
        <v>5</v>
      </c>
      <c r="T163" s="6">
        <f>ROUND(AVERAGE(I163:J163),2)</f>
        <v/>
      </c>
      <c r="U163" s="6">
        <f>ROUND(AVERAGE(N163:S163),2)</f>
        <v/>
      </c>
      <c r="V163" s="7">
        <f>IF(L163&gt;=9,"promoter",IF(L163&gt;=7,"passive","detractor"))</f>
        <v/>
      </c>
      <c r="W163" s="8">
        <f>IF(OR(V163="detractor",K163&lt;&gt;"yes"),1,0)</f>
        <v/>
      </c>
      <c r="X163" s="3" t="inlineStr"/>
      <c r="Y163" s="5" t="inlineStr"/>
    </row>
    <row r="164">
      <c r="A164" s="2" t="n">
        <v>46234.60451388889</v>
      </c>
      <c r="B164" s="3" t="inlineStr">
        <is>
          <t>Ibrahim Santos</t>
        </is>
      </c>
      <c r="C164" s="3" t="inlineStr">
        <is>
          <t>+971 52 000 0163</t>
        </is>
      </c>
      <c r="D164" s="3" t="inlineStr">
        <is>
          <t>ibrahim.santos163@example.com</t>
        </is>
      </c>
      <c r="E164" s="3" t="inlineStr">
        <is>
          <t>Sharjah</t>
        </is>
      </c>
      <c r="F164" s="3" t="inlineStr">
        <is>
          <t>tire_service</t>
        </is>
      </c>
      <c r="G164" s="3" t="inlineStr">
        <is>
          <t>en</t>
        </is>
      </c>
      <c r="H164" s="3" t="inlineStr">
        <is>
          <t>qr</t>
        </is>
      </c>
      <c r="I164" s="4" t="n">
        <v>1</v>
      </c>
      <c r="J164" s="4" t="n">
        <v>3</v>
      </c>
      <c r="K164" s="3" t="inlineStr">
        <is>
          <t>partially</t>
        </is>
      </c>
      <c r="L164" s="4" t="n">
        <v>0</v>
      </c>
      <c r="M164" s="5" t="inlineStr">
        <is>
          <t>Nobody answered the phone for two days while my car was in the workshop.</t>
        </is>
      </c>
      <c r="N164" s="4" t="n">
        <v>2</v>
      </c>
      <c r="O164" s="4" t="n">
        <v>2</v>
      </c>
      <c r="P164" s="4" t="n">
        <v>1</v>
      </c>
      <c r="Q164" s="4" t="n">
        <v>2</v>
      </c>
      <c r="R164" s="4" t="n">
        <v>1</v>
      </c>
      <c r="S164" s="4" t="n">
        <v>2</v>
      </c>
      <c r="T164" s="6">
        <f>ROUND(AVERAGE(I164:J164),2)</f>
        <v/>
      </c>
      <c r="U164" s="6">
        <f>ROUND(AVERAGE(N164:S164),2)</f>
        <v/>
      </c>
      <c r="V164" s="7">
        <f>IF(L164&gt;=9,"promoter",IF(L164&gt;=7,"passive","detractor"))</f>
        <v/>
      </c>
      <c r="W164" s="8">
        <f>IF(OR(V164="detractor",K164&lt;&gt;"yes"),1,0)</f>
        <v/>
      </c>
      <c r="X164" s="2" t="n">
        <v>46237.39618055556</v>
      </c>
      <c r="Y164" s="5" t="inlineStr">
        <is>
          <t>Called the customer, apologised for the delay and booked a free re-check.</t>
        </is>
      </c>
    </row>
    <row r="165">
      <c r="A165" s="2" t="n">
        <v>46234.7094212963</v>
      </c>
      <c r="B165" s="3" t="inlineStr">
        <is>
          <t>Emma Thomas</t>
        </is>
      </c>
      <c r="C165" s="3" t="inlineStr">
        <is>
          <t>+971 52 000 0164</t>
        </is>
      </c>
      <c r="D165" s="3" t="inlineStr">
        <is>
          <t>emma.thomas164@example.com</t>
        </is>
      </c>
      <c r="E165" s="3" t="inlineStr">
        <is>
          <t>Abu Dhabi</t>
        </is>
      </c>
      <c r="F165" s="3" t="inlineStr">
        <is>
          <t>oil_change</t>
        </is>
      </c>
      <c r="G165" s="3" t="inlineStr">
        <is>
          <t>en</t>
        </is>
      </c>
      <c r="H165" s="3" t="inlineStr">
        <is>
          <t>qr</t>
        </is>
      </c>
      <c r="I165" s="4" t="n">
        <v>5</v>
      </c>
      <c r="J165" s="4" t="n">
        <v>4</v>
      </c>
      <c r="K165" s="3" t="inlineStr">
        <is>
          <t>yes</t>
        </is>
      </c>
      <c r="L165" s="4" t="n">
        <v>10</v>
      </c>
      <c r="M165" s="5" t="inlineStr">
        <is>
          <t>Best experience I have had with a garage in the UAE. the oil and filter change done properly and on budget.</t>
        </is>
      </c>
      <c r="N165" s="4" t="n">
        <v>5</v>
      </c>
      <c r="O165" s="4" t="n">
        <v>5</v>
      </c>
      <c r="P165" s="4" t="n">
        <v>5</v>
      </c>
      <c r="Q165" s="4" t="n">
        <v>5</v>
      </c>
      <c r="R165" s="4" t="n">
        <v>4</v>
      </c>
      <c r="S165" s="4" t="n">
        <v>5</v>
      </c>
      <c r="T165" s="6">
        <f>ROUND(AVERAGE(I165:J165),2)</f>
        <v/>
      </c>
      <c r="U165" s="6">
        <f>ROUND(AVERAGE(N165:S165),2)</f>
        <v/>
      </c>
      <c r="V165" s="7">
        <f>IF(L165&gt;=9,"promoter",IF(L165&gt;=7,"passive","detractor"))</f>
        <v/>
      </c>
      <c r="W165" s="8">
        <f>IF(OR(V165="detractor",K165&lt;&gt;"yes"),1,0)</f>
        <v/>
      </c>
      <c r="X165" s="3" t="inlineStr"/>
      <c r="Y165" s="5" t="inlineStr"/>
    </row>
  </sheetData>
  <autoFilter ref="A1:Y165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9" t="inlineStr">
        <is>
          <t>Pioneer Car Service Center — Customer Experience, July 2026</t>
        </is>
      </c>
    </row>
    <row r="2">
      <c r="A2" s="10" t="inlineStr">
        <is>
          <t>Synthetic dataset. See the Notes sheet before using these figures anywhere.</t>
        </is>
      </c>
    </row>
    <row r="4">
      <c r="A4" s="9" t="inlineStr">
        <is>
          <t>Headline measures</t>
        </is>
      </c>
    </row>
    <row r="5">
      <c r="A5" s="11" t="inlineStr">
        <is>
          <t>Responses received</t>
        </is>
      </c>
      <c r="B5" s="12">
        <f>COUNTA(Responses!$B$2:$B$165)</f>
        <v/>
      </c>
    </row>
    <row r="6">
      <c r="A6" s="11" t="inlineStr">
        <is>
          <t>Net Promoter Score</t>
        </is>
      </c>
      <c r="B6" s="13">
        <f>ROUND((COUNTIF(Responses!$V$2:$V$165,"promoter")-COUNTIF(Responses!$V$2:$V$165,"detractor"))/COUNTA(Responses!$V$2:$V$165)*100,0)</f>
        <v/>
      </c>
    </row>
    <row r="7">
      <c r="A7" s="11" t="inlineStr">
        <is>
          <t>Customer satisfaction (mean of 5)</t>
        </is>
      </c>
      <c r="B7" s="14">
        <f>ROUND(AVERAGE(Responses!$U$2:$U$165),2)</f>
        <v/>
      </c>
    </row>
    <row r="8">
      <c r="A8" s="11" t="inlineStr">
        <is>
          <t>Customer Effort Score (mean of 5)</t>
        </is>
      </c>
      <c r="B8" s="14">
        <f>ROUND(AVERAGE(Responses!$T$2:$T$165),2)</f>
        <v/>
      </c>
    </row>
    <row r="9">
      <c r="A9" s="11" t="inlineStr">
        <is>
          <t>Mean recommendation score (of 10)</t>
        </is>
      </c>
      <c r="B9" s="14">
        <f>ROUND(AVERAGE(Responses!$L$2:$L$165),2)</f>
        <v/>
      </c>
    </row>
    <row r="10">
      <c r="A10" s="11" t="inlineStr">
        <is>
          <t>Fully resolved</t>
        </is>
      </c>
      <c r="B10" s="15">
        <f>ROUND(COUNTIF(Responses!$K$2:$K$165,"yes")/COUNTA(Responses!$K$2:$K$165)*100,1)</f>
        <v/>
      </c>
    </row>
    <row r="11">
      <c r="A11" s="11" t="inlineStr">
        <is>
          <t>Flagged for follow-up</t>
        </is>
      </c>
      <c r="B11" s="12">
        <f>SUM(Responses!$W$2:$W$165)</f>
        <v/>
      </c>
    </row>
    <row r="12">
      <c r="A12" s="11" t="inlineStr">
        <is>
          <t>Follow-up completed</t>
        </is>
      </c>
      <c r="B12" s="12">
        <f>COUNT(Responses!$X$2:$X$165)</f>
        <v/>
      </c>
    </row>
    <row r="13">
      <c r="A13" s="11" t="inlineStr">
        <is>
          <t>Follow-up still outstanding</t>
        </is>
      </c>
      <c r="B13" s="12">
        <f>B11-B12</f>
        <v/>
      </c>
    </row>
    <row r="15">
      <c r="A15" s="9" t="inlineStr">
        <is>
          <t>NPS breakdown</t>
        </is>
      </c>
      <c r="C15" s="16" t="inlineStr">
        <is>
          <t>Share</t>
        </is>
      </c>
    </row>
    <row r="16">
      <c r="A16" s="11" t="inlineStr">
        <is>
          <t>Promoters</t>
        </is>
      </c>
      <c r="B16" s="12">
        <f>COUNTIF(Responses!$V$2:$V$165,"promoter")</f>
        <v/>
      </c>
      <c r="C16" s="15">
        <f>ROUND(B16/$B$5*100,1)</f>
        <v/>
      </c>
    </row>
    <row r="17">
      <c r="A17" s="11" t="inlineStr">
        <is>
          <t>Passives</t>
        </is>
      </c>
      <c r="B17" s="12">
        <f>COUNTIF(Responses!$V$2:$V$165,"passive")</f>
        <v/>
      </c>
      <c r="C17" s="15">
        <f>ROUND(B17/$B$5*100,1)</f>
        <v/>
      </c>
    </row>
    <row r="18">
      <c r="A18" s="11" t="inlineStr">
        <is>
          <t>Detractors</t>
        </is>
      </c>
      <c r="B18" s="12">
        <f>COUNTIF(Responses!$V$2:$V$165,"detractor")</f>
        <v/>
      </c>
      <c r="C18" s="15">
        <f>ROUND(B18/$B$5*100,1)</f>
        <v/>
      </c>
    </row>
    <row r="20">
      <c r="A20" s="9" t="inlineStr">
        <is>
          <t>By branch</t>
        </is>
      </c>
    </row>
    <row r="21">
      <c r="A21" s="17" t="inlineStr">
        <is>
          <t>Branch</t>
        </is>
      </c>
      <c r="B21" s="16" t="inlineStr">
        <is>
          <t>Responses</t>
        </is>
      </c>
      <c r="C21" s="16" t="inlineStr">
        <is>
          <t>NPS</t>
        </is>
      </c>
      <c r="D21" s="16" t="inlineStr">
        <is>
          <t>CSAT</t>
        </is>
      </c>
      <c r="E21" s="16" t="inlineStr">
        <is>
          <t>CES</t>
        </is>
      </c>
    </row>
    <row r="22">
      <c r="A22" s="11" t="inlineStr">
        <is>
          <t>Abu Dhabi</t>
        </is>
      </c>
      <c r="B22" s="12">
        <f>COUNTIF(Responses!$E$2:$E$165,$A22)</f>
        <v/>
      </c>
      <c r="C22" s="13">
        <f>IF(B22=0,"",ROUND((COUNTIFS(Responses!$E$2:$E$165,$A22,Responses!$V$2:$V$165,"promoter")-COUNTIFS(Responses!$E$2:$E$165,$A22,Responses!$V$2:$V$165,"detractor"))/B22*100,0))</f>
        <v/>
      </c>
      <c r="D22" s="14">
        <f>IF(B22=0,"",ROUND(AVERAGEIF(Responses!$E$2:$E$165,$A22,Responses!$U$2:$U$165),2))</f>
        <v/>
      </c>
      <c r="E22" s="14">
        <f>IF(B22=0,"",ROUND(AVERAGEIF(Responses!$E$2:$E$165,$A22,Responses!$T$2:$T$165),2))</f>
        <v/>
      </c>
    </row>
    <row r="23">
      <c r="A23" s="11" t="inlineStr">
        <is>
          <t>Sharjah</t>
        </is>
      </c>
      <c r="B23" s="12">
        <f>COUNTIF(Responses!$E$2:$E$165,$A23)</f>
        <v/>
      </c>
      <c r="C23" s="13">
        <f>IF(B23=0,"",ROUND((COUNTIFS(Responses!$E$2:$E$165,$A23,Responses!$V$2:$V$165,"promoter")-COUNTIFS(Responses!$E$2:$E$165,$A23,Responses!$V$2:$V$165,"detractor"))/B23*100,0))</f>
        <v/>
      </c>
      <c r="D23" s="14">
        <f>IF(B23=0,"",ROUND(AVERAGEIF(Responses!$E$2:$E$165,$A23,Responses!$U$2:$U$165),2))</f>
        <v/>
      </c>
      <c r="E23" s="14">
        <f>IF(B23=0,"",ROUND(AVERAGEIF(Responses!$E$2:$E$165,$A23,Responses!$T$2:$T$165),2))</f>
        <v/>
      </c>
    </row>
    <row r="24">
      <c r="A24" s="11" t="inlineStr">
        <is>
          <t>Dubai</t>
        </is>
      </c>
      <c r="B24" s="12">
        <f>COUNTIF(Responses!$E$2:$E$165,$A24)</f>
        <v/>
      </c>
      <c r="C24" s="13">
        <f>IF(B24=0,"",ROUND((COUNTIFS(Responses!$E$2:$E$165,$A24,Responses!$V$2:$V$165,"promoter")-COUNTIFS(Responses!$E$2:$E$165,$A24,Responses!$V$2:$V$165,"detractor"))/B24*100,0))</f>
        <v/>
      </c>
      <c r="D24" s="14">
        <f>IF(B24=0,"",ROUND(AVERAGEIF(Responses!$E$2:$E$165,$A24,Responses!$U$2:$U$165),2))</f>
        <v/>
      </c>
      <c r="E24" s="14">
        <f>IF(B24=0,"",ROUND(AVERAGEIF(Responses!$E$2:$E$165,$A24,Responses!$T$2:$T$165),2))</f>
        <v/>
      </c>
    </row>
    <row r="25">
      <c r="A25" s="11" t="inlineStr">
        <is>
          <t>Al Ain</t>
        </is>
      </c>
      <c r="B25" s="12">
        <f>COUNTIF(Responses!$E$2:$E$165,$A25)</f>
        <v/>
      </c>
      <c r="C25" s="13">
        <f>IF(B25=0,"",ROUND((COUNTIFS(Responses!$E$2:$E$165,$A25,Responses!$V$2:$V$165,"promoter")-COUNTIFS(Responses!$E$2:$E$165,$A25,Responses!$V$2:$V$165,"detractor"))/B25*100,0))</f>
        <v/>
      </c>
      <c r="D25" s="14">
        <f>IF(B25=0,"",ROUND(AVERAGEIF(Responses!$E$2:$E$165,$A25,Responses!$U$2:$U$165),2))</f>
        <v/>
      </c>
      <c r="E25" s="14">
        <f>IF(B25=0,"",ROUND(AVERAGEIF(Responses!$E$2:$E$165,$A25,Responses!$T$2:$T$165),2))</f>
        <v/>
      </c>
    </row>
    <row r="27">
      <c r="A27" s="9" t="inlineStr">
        <is>
          <t>By service</t>
        </is>
      </c>
    </row>
    <row r="28">
      <c r="A28" s="17" t="inlineStr">
        <is>
          <t>Service</t>
        </is>
      </c>
      <c r="B28" s="16" t="inlineStr">
        <is>
          <t>Responses</t>
        </is>
      </c>
      <c r="C28" s="16" t="inlineStr">
        <is>
          <t>NPS</t>
        </is>
      </c>
      <c r="D28" s="16" t="inlineStr">
        <is>
          <t>CSAT</t>
        </is>
      </c>
    </row>
    <row r="29">
      <c r="A29" s="11" t="inlineStr">
        <is>
          <t>oil_change</t>
        </is>
      </c>
      <c r="B29" s="12">
        <f>COUNTIF(Responses!$F$2:$F$165,$A29)</f>
        <v/>
      </c>
      <c r="C29" s="13">
        <f>IF(B29=0,"",ROUND((COUNTIFS(Responses!$F$2:$F$165,$A29,Responses!$V$2:$V$165,"promoter")-COUNTIFS(Responses!$F$2:$F$165,$A29,Responses!$V$2:$V$165,"detractor"))/B29*100,0))</f>
        <v/>
      </c>
      <c r="D29" s="14">
        <f>IF(B29=0,"",ROUND(AVERAGEIF(Responses!$F$2:$F$165,$A29,Responses!$U$2:$U$165),2))</f>
        <v/>
      </c>
    </row>
    <row r="30">
      <c r="A30" s="11" t="inlineStr">
        <is>
          <t>general_maintenance</t>
        </is>
      </c>
      <c r="B30" s="12">
        <f>COUNTIF(Responses!$F$2:$F$165,$A30)</f>
        <v/>
      </c>
      <c r="C30" s="13">
        <f>IF(B30=0,"",ROUND((COUNTIFS(Responses!$F$2:$F$165,$A30,Responses!$V$2:$V$165,"promoter")-COUNTIFS(Responses!$F$2:$F$165,$A30,Responses!$V$2:$V$165,"detractor"))/B30*100,0))</f>
        <v/>
      </c>
      <c r="D30" s="14">
        <f>IF(B30=0,"",ROUND(AVERAGEIF(Responses!$F$2:$F$165,$A30,Responses!$U$2:$U$165),2))</f>
        <v/>
      </c>
    </row>
    <row r="31">
      <c r="A31" s="11" t="inlineStr">
        <is>
          <t>tire_service</t>
        </is>
      </c>
      <c r="B31" s="12">
        <f>COUNTIF(Responses!$F$2:$F$165,$A31)</f>
        <v/>
      </c>
      <c r="C31" s="13">
        <f>IF(B31=0,"",ROUND((COUNTIFS(Responses!$F$2:$F$165,$A31,Responses!$V$2:$V$165,"promoter")-COUNTIFS(Responses!$F$2:$F$165,$A31,Responses!$V$2:$V$165,"detractor"))/B31*100,0))</f>
        <v/>
      </c>
      <c r="D31" s="14">
        <f>IF(B31=0,"",ROUND(AVERAGEIF(Responses!$F$2:$F$165,$A31,Responses!$U$2:$U$165),2))</f>
        <v/>
      </c>
    </row>
    <row r="32">
      <c r="A32" s="11" t="inlineStr">
        <is>
          <t>brake_repair</t>
        </is>
      </c>
      <c r="B32" s="12">
        <f>COUNTIF(Responses!$F$2:$F$165,$A32)</f>
        <v/>
      </c>
      <c r="C32" s="13">
        <f>IF(B32=0,"",ROUND((COUNTIFS(Responses!$F$2:$F$165,$A32,Responses!$V$2:$V$165,"promoter")-COUNTIFS(Responses!$F$2:$F$165,$A32,Responses!$V$2:$V$165,"detractor"))/B32*100,0))</f>
        <v/>
      </c>
      <c r="D32" s="14">
        <f>IF(B32=0,"",ROUND(AVERAGEIF(Responses!$F$2:$F$165,$A32,Responses!$U$2:$U$165),2))</f>
        <v/>
      </c>
    </row>
    <row r="33">
      <c r="A33" s="11" t="inlineStr">
        <is>
          <t>engine_repair</t>
        </is>
      </c>
      <c r="B33" s="12">
        <f>COUNTIF(Responses!$F$2:$F$165,$A33)</f>
        <v/>
      </c>
      <c r="C33" s="13">
        <f>IF(B33=0,"",ROUND((COUNTIFS(Responses!$F$2:$F$165,$A33,Responses!$V$2:$V$165,"promoter")-COUNTIFS(Responses!$F$2:$F$165,$A33,Responses!$V$2:$V$165,"detractor"))/B33*100,0))</f>
        <v/>
      </c>
      <c r="D33" s="14">
        <f>IF(B33=0,"",ROUND(AVERAGEIF(Responses!$F$2:$F$165,$A33,Responses!$U$2:$U$165),2))</f>
        <v/>
      </c>
    </row>
    <row r="34">
      <c r="A34" s="11" t="inlineStr">
        <is>
          <t>electrical</t>
        </is>
      </c>
      <c r="B34" s="12">
        <f>COUNTIF(Responses!$F$2:$F$165,$A34)</f>
        <v/>
      </c>
      <c r="C34" s="13">
        <f>IF(B34=0,"",ROUND((COUNTIFS(Responses!$F$2:$F$165,$A34,Responses!$V$2:$V$165,"promoter")-COUNTIFS(Responses!$F$2:$F$165,$A34,Responses!$V$2:$V$165,"detractor"))/B34*100,0))</f>
        <v/>
      </c>
      <c r="D34" s="14">
        <f>IF(B34=0,"",ROUND(AVERAGEIF(Responses!$F$2:$F$165,$A34,Responses!$U$2:$U$165),2))</f>
        <v/>
      </c>
    </row>
    <row r="35">
      <c r="A35" s="11" t="inlineStr">
        <is>
          <t>bodywork</t>
        </is>
      </c>
      <c r="B35" s="12">
        <f>COUNTIF(Responses!$F$2:$F$165,$A35)</f>
        <v/>
      </c>
      <c r="C35" s="13">
        <f>IF(B35=0,"",ROUND((COUNTIFS(Responses!$F$2:$F$165,$A35,Responses!$V$2:$V$165,"promoter")-COUNTIFS(Responses!$F$2:$F$165,$A35,Responses!$V$2:$V$165,"detractor"))/B35*100,0))</f>
        <v/>
      </c>
      <c r="D35" s="14">
        <f>IF(B35=0,"",ROUND(AVERAGEIF(Responses!$F$2:$F$165,$A35,Responses!$U$2:$U$165),2))</f>
        <v/>
      </c>
    </row>
    <row r="36">
      <c r="A36" s="11" t="inlineStr">
        <is>
          <t>diagnostic</t>
        </is>
      </c>
      <c r="B36" s="12">
        <f>COUNTIF(Responses!$F$2:$F$165,$A36)</f>
        <v/>
      </c>
      <c r="C36" s="13">
        <f>IF(B36=0,"",ROUND((COUNTIFS(Responses!$F$2:$F$165,$A36,Responses!$V$2:$V$165,"promoter")-COUNTIFS(Responses!$F$2:$F$165,$A36,Responses!$V$2:$V$165,"detractor"))/B36*100,0))</f>
        <v/>
      </c>
      <c r="D36" s="14">
        <f>IF(B36=0,"",ROUND(AVERAGEIF(Responses!$F$2:$F$165,$A36,Responses!$U$2:$U$165),2))</f>
        <v/>
      </c>
    </row>
    <row r="37">
      <c r="A37" s="11" t="inlineStr">
        <is>
          <t>transmission</t>
        </is>
      </c>
      <c r="B37" s="12">
        <f>COUNTIF(Responses!$F$2:$F$165,$A37)</f>
        <v/>
      </c>
      <c r="C37" s="13">
        <f>IF(B37=0,"",ROUND((COUNTIFS(Responses!$F$2:$F$165,$A37,Responses!$V$2:$V$165,"promoter")-COUNTIFS(Responses!$F$2:$F$165,$A37,Responses!$V$2:$V$165,"detractor"))/B37*100,0))</f>
        <v/>
      </c>
      <c r="D37" s="14">
        <f>IF(B37=0,"",ROUND(AVERAGEIF(Responses!$F$2:$F$165,$A37,Responses!$U$2:$U$165),2))</f>
        <v/>
      </c>
    </row>
    <row r="38">
      <c r="A38" s="11" t="inlineStr">
        <is>
          <t>other</t>
        </is>
      </c>
      <c r="B38" s="12">
        <f>COUNTIF(Responses!$F$2:$F$165,$A38)</f>
        <v/>
      </c>
      <c r="C38" s="13">
        <f>IF(B38=0,"",ROUND((COUNTIFS(Responses!$F$2:$F$165,$A38,Responses!$V$2:$V$165,"promoter")-COUNTIFS(Responses!$F$2:$F$165,$A38,Responses!$V$2:$V$165,"detractor"))/B38*100,0))</f>
        <v/>
      </c>
      <c r="D38" s="14">
        <f>IF(B38=0,"",ROUND(AVERAGEIF(Responses!$F$2:$F$165,$A38,Responses!$U$2:$U$165),2))</f>
        <v/>
      </c>
    </row>
    <row r="40">
      <c r="A40" s="18" t="inlineStr">
        <is>
          <t>Formulas read the Responses sheet directly — change a row there and every figure above updates when the workbook recalculates.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Pioneer Car Service Center — CX survey dataset, July 2026</t>
        </is>
      </c>
    </row>
    <row r="2">
      <c r="A2" s="20" t="inlineStr"/>
    </row>
    <row r="3">
      <c r="A3" s="21" t="inlineStr">
        <is>
          <t>What this is</t>
        </is>
      </c>
    </row>
    <row r="4" ht="45" customHeight="1">
      <c r="A4" s="20" t="inlineStr">
        <is>
          <t>164 customer survey responses covering 1–31 July 2026, in the exact column shape of the survey_responses table. Every row has a respondent name, a branch and a service, which is what the Customer Experience dashboard needs in order to show per-branch and per-service breakdowns.</t>
        </is>
      </c>
    </row>
    <row r="5">
      <c r="A5" s="20" t="inlineStr"/>
    </row>
    <row r="6">
      <c r="A6" s="22" t="inlineStr">
        <is>
          <t>These respondents are not real customers</t>
        </is>
      </c>
    </row>
    <row r="7" ht="45" customHeight="1">
      <c r="A7" s="20" t="inlineStr">
        <is>
          <t>The names, scores and comments were generated for demonstration and testing. They are not the words of any Pioneer customer and must not be reported as voice-of-customer evidence, quoted in a management pack, or mixed into a real CX report without saying where they came from.</t>
        </is>
      </c>
    </row>
    <row r="8">
      <c r="A8" s="20" t="inlineStr"/>
    </row>
    <row r="9">
      <c r="A9" s="21" t="inlineStr">
        <is>
          <t>Contact details cannot reach anyone, by design</t>
        </is>
      </c>
    </row>
    <row r="10" ht="60" customHeight="1">
      <c r="A10" s="20" t="inlineStr">
        <is>
          <t>Phone numbers use the +971 5x 000 0xxx block, which is not an assigned UAE subscriber range, so no number here can connect to a real person. Emails use example.com, reserved by RFC 2606 and permanently undeliverable. This matters because the CX workflow asks staff to call flagged detractors back — with real-looking numbers, a demo would eventually dial a stranger.</t>
        </is>
      </c>
    </row>
    <row r="11">
      <c r="A11" s="20" t="inlineStr"/>
    </row>
    <row r="12">
      <c r="A12" s="21" t="inlineStr">
        <is>
          <t>How the numbers were shaped</t>
        </is>
      </c>
    </row>
    <row r="13" ht="75" customHeight="1">
      <c r="A13" s="20" t="inlineStr">
        <is>
          <t>Roughly 57% promoters, 27% passives and 16% detractors, giving an NPS near +41. CSAT and CES answers are drawn to agree with each row's NPS band, so a promoter does not score 2s. Dates are weekday-weighted for the UAE working week (Friday lightest) and fall in workshop hours. Detractors and any response that was not fully resolved are flagged, and about 78% of those carry a completed follow-up with a recorded outcome.</t>
        </is>
      </c>
    </row>
    <row r="14">
      <c r="A14" s="20" t="inlineStr"/>
    </row>
    <row r="15">
      <c r="A15" s="21" t="inlineStr">
        <is>
          <t>Loading it</t>
        </is>
      </c>
    </row>
    <row r="16">
      <c r="A16" s="23" t="inlineStr">
        <is>
          <t>node scripts/import-survey-responses.js --file=&lt;this file&gt; --dry-run</t>
        </is>
      </c>
    </row>
    <row r="17" ht="30" customHeight="1">
      <c r="A17" s="20" t="inlineStr">
        <is>
          <t>Drop --dry-run to write. The importer recomputes ces_avg, csat_avg, nps_category and is_flagged from the answer columns rather than trusting the sheet, and stamps user_agent with a seed marker.</t>
        </is>
      </c>
    </row>
    <row r="18">
      <c r="A18" s="20" t="inlineStr"/>
    </row>
    <row r="19">
      <c r="A19" s="21" t="inlineStr">
        <is>
          <t>Removing it again</t>
        </is>
      </c>
    </row>
    <row r="20">
      <c r="A20" s="23" t="inlineStr">
        <is>
          <t>DELETE FROM survey_responses WHERE user_agent = 'seed:cx-demo-2026-07';</t>
        </is>
      </c>
    </row>
    <row r="21" ht="30" customHeight="1">
      <c r="A21" s="20" t="inlineStr">
        <is>
          <t>That marker is the only thing separating these rows from real submissions, so keep it if you keep the data.</t>
        </is>
      </c>
    </row>
    <row r="22">
      <c r="A22" s="20" t="inlineStr"/>
    </row>
    <row r="23">
      <c r="A23" s="21" t="inlineStr">
        <is>
          <t>Reproducing it</t>
        </is>
      </c>
    </row>
    <row r="24" ht="30" customHeight="1">
      <c r="A24" s="20" t="inlineStr">
        <is>
          <t>Generated with a fixed random seed (20260701), so regenerating produces this same sheet rather than a different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2026-09-09T15:39:22Z</dcterms:created>
  <dcterms:modified xmlns:dcterms="http://purl.org/dc/terms/" xmlns:xsi="http://www.w3.org/2001/XMLSchema-instance" xsi:type="dcterms:W3CDTF">2026-09-09T15:39:22Z</dcterms:modified>
</cp:coreProperties>
</file>