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aints" sheetId="1" state="visible" r:id="rId1"/>
    <sheet xmlns:r="http://schemas.openxmlformats.org/officeDocument/2006/relationships" name="Year Summary" sheetId="2" state="visible" r:id="rId2"/>
    <sheet xmlns:r="http://schemas.openxmlformats.org/officeDocument/2006/relationships" name="Notes" sheetId="3" state="visible" r:id="rId3"/>
  </sheets>
  <definedNames>
    <definedName name="_xlnm._FilterDatabase" localSheetId="0" hidden="1">'Complaints'!$A$1:$AB$55</definedName>
  </definedNames>
  <calcPr calcId="124519" fullCalcOnLoad="1"/>
</workbook>
</file>

<file path=xl/styles.xml><?xml version="1.0" encoding="utf-8"?>
<styleSheet xmlns="http://schemas.openxmlformats.org/spreadsheetml/2006/main">
  <numFmts count="7">
    <numFmt numFmtId="164" formatCode="yyyy-mm-dd h:mm:ss"/>
    <numFmt numFmtId="165" formatCode="yyyy-mm-dd hh:mm"/>
    <numFmt numFmtId="166" formatCode="#,##0.00;;-"/>
    <numFmt numFmtId="167" formatCode="0.0"/>
    <numFmt numFmtId="168" formatCode="yyyy-mm-dd"/>
    <numFmt numFmtId="169" formatCode="0.0&quot;%&quot;"/>
    <numFmt numFmtId="170" formatCode="0&quot;%&quot;"/>
  </numFmts>
  <fonts count="12">
    <font>
      <name val="Calibri"/>
      <family val="2"/>
      <color theme="1"/>
      <sz val="11"/>
      <scheme val="minor"/>
    </font>
    <font>
      <name val="Arial"/>
      <b val="1"/>
      <color rgb="00FFFFFF"/>
      <sz val="10"/>
    </font>
    <font>
      <name val="Arial"/>
      <sz val="10"/>
    </font>
    <font>
      <name val="Arial"/>
      <b val="1"/>
      <sz val="10"/>
    </font>
    <font>
      <name val="Arial"/>
      <b val="1"/>
      <color rgb="001E3A5F"/>
      <sz val="12"/>
    </font>
    <font>
      <name val="Arial"/>
      <i val="1"/>
      <color rgb="008B5000"/>
      <sz val="9"/>
    </font>
    <font>
      <name val="Arial"/>
      <color rgb="00AAAAAA"/>
      <sz val="8"/>
    </font>
    <font>
      <name val="Arial"/>
      <i val="1"/>
      <color rgb="00666666"/>
      <sz val="9"/>
    </font>
    <font>
      <name val="Arial"/>
      <b val="1"/>
      <color rgb="001E3A5F"/>
      <sz val="13"/>
    </font>
    <font>
      <name val="Arial"/>
      <b val="1"/>
      <color rgb="001E3A5F"/>
      <sz val="11"/>
    </font>
    <font>
      <name val="Arial"/>
      <b val="1"/>
      <color rgb="009B1C1C"/>
      <sz val="11"/>
    </font>
    <font>
      <name val="Consolas"/>
      <sz val="10"/>
    </font>
  </fonts>
  <fills count="8">
    <fill>
      <patternFill/>
    </fill>
    <fill>
      <patternFill patternType="gray125"/>
    </fill>
    <fill>
      <patternFill patternType="solid">
        <fgColor rgb="001E3A5F"/>
      </patternFill>
    </fill>
    <fill>
      <patternFill patternType="solid">
        <fgColor rgb="00FEE2E2"/>
      </patternFill>
    </fill>
    <fill>
      <patternFill patternType="solid">
        <fgColor rgb="00EDF2F7"/>
      </patternFill>
    </fill>
    <fill>
      <patternFill patternType="solid">
        <fgColor rgb="00FEF3C7"/>
      </patternFill>
    </fill>
    <fill>
      <patternFill patternType="solid">
        <fgColor rgb="00E0F2FE"/>
      </patternFill>
    </fill>
    <fill>
      <patternFill patternType="solid">
        <fgColor rgb="00F1F5F9"/>
      </patternFill>
    </fill>
  </fills>
  <borders count="2">
    <border>
      <left/>
      <right/>
      <top/>
      <bottom/>
      <diagonal/>
    </border>
    <border>
      <bottom style="thin">
        <color rgb="00D0D7DE"/>
      </bottom>
    </border>
  </borders>
  <cellStyleXfs count="1">
    <xf numFmtId="0" fontId="0" fillId="0" borderId="0"/>
  </cellStyleXfs>
  <cellXfs count="3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165" fontId="2" fillId="0" borderId="1" pivotButton="0" quotePrefix="0" xfId="0"/>
    <xf numFmtId="0" fontId="3" fillId="3" borderId="1" applyAlignment="1" pivotButton="0" quotePrefix="0" xfId="0">
      <alignment horizontal="center"/>
    </xf>
    <xf numFmtId="0" fontId="2" fillId="0" borderId="1" applyAlignment="1" pivotButton="0" quotePrefix="0" xfId="0">
      <alignment horizontal="center"/>
    </xf>
    <xf numFmtId="166" fontId="2" fillId="0" borderId="1" pivotButton="0" quotePrefix="0" xfId="0"/>
    <xf numFmtId="0" fontId="2" fillId="0" borderId="1" applyAlignment="1" pivotButton="0" quotePrefix="0" xfId="0">
      <alignment vertical="top" wrapText="1"/>
    </xf>
    <xf numFmtId="167" fontId="2" fillId="4" borderId="1" applyAlignment="1" pivotButton="0" quotePrefix="0" xfId="0">
      <alignment horizontal="center"/>
    </xf>
    <xf numFmtId="0" fontId="2" fillId="4" borderId="1" applyAlignment="1" pivotButton="0" quotePrefix="0" xfId="0">
      <alignment horizontal="center"/>
    </xf>
    <xf numFmtId="168" fontId="2" fillId="0" borderId="1" pivotButton="0" quotePrefix="0" xfId="0"/>
    <xf numFmtId="0" fontId="3" fillId="5" borderId="1" applyAlignment="1" pivotButton="0" quotePrefix="0" xfId="0">
      <alignment horizontal="center"/>
    </xf>
    <xf numFmtId="0" fontId="3" fillId="6" borderId="1" applyAlignment="1" pivotButton="0" quotePrefix="0" xfId="0">
      <alignment horizontal="center"/>
    </xf>
    <xf numFmtId="0" fontId="4" fillId="0" borderId="0" pivotButton="0" quotePrefix="0" xfId="0"/>
    <xf numFmtId="0" fontId="5" fillId="0" borderId="0" pivotButton="0" quotePrefix="0" xfId="0"/>
    <xf numFmtId="0" fontId="2" fillId="0" borderId="0" pivotButton="0" quotePrefix="0" xfId="0"/>
    <xf numFmtId="1" fontId="2" fillId="0" borderId="0" applyAlignment="1" pivotButton="0" quotePrefix="0" xfId="0">
      <alignment horizontal="center"/>
    </xf>
    <xf numFmtId="167" fontId="2" fillId="0" borderId="0" applyAlignment="1" pivotButton="0" quotePrefix="0" xfId="0">
      <alignment horizontal="center"/>
    </xf>
    <xf numFmtId="169" fontId="2" fillId="0" borderId="0" applyAlignment="1" pivotButton="0" quotePrefix="0" xfId="0">
      <alignment horizontal="center"/>
    </xf>
    <xf numFmtId="4" fontId="2"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170" fontId="2" fillId="0" borderId="0" applyAlignment="1" pivotButton="0" quotePrefix="0" xfId="0">
      <alignment horizontal="center"/>
    </xf>
    <xf numFmtId="168" fontId="6" fillId="0" borderId="0" pivotButton="0" quotePrefix="0" xfId="0"/>
    <xf numFmtId="0" fontId="7" fillId="0" borderId="0" pivotButton="0" quotePrefix="0" xfId="0"/>
    <xf numFmtId="0" fontId="8" fillId="0" borderId="0" applyAlignment="1" pivotButton="0" quotePrefix="0" xfId="0">
      <alignment vertical="top" wrapText="1"/>
    </xf>
    <xf numFmtId="0" fontId="2"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Pioneer CX</author>
  </authors>
  <commentList>
    <comment ref="P1" authorId="0" shapeId="0">
      <text>
        <t>Within target compares the resolved date against the case's own target, which the workshop sets per severity: S1 two working days, S2 five, S3 three. A case still open counts as neither met nor missed and shows blank rather than 0, so the compliance rate is a share of decided cases, not of all cases.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B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7" customWidth="1" min="2" max="2"/>
    <col width="6" customWidth="1" min="3" max="3"/>
    <col width="8" customWidth="1" min="4" max="4"/>
    <col width="14" customWidth="1" min="5" max="5"/>
    <col width="12" customWidth="1" min="6" max="6"/>
    <col width="24" customWidth="1" min="7" max="7"/>
    <col width="14" customWidth="1" min="8" max="8"/>
    <col width="13" customWidth="1" min="9" max="9"/>
    <col width="62" customWidth="1" min="10" max="10"/>
    <col width="17" customWidth="1" min="11" max="11"/>
    <col width="17" customWidth="1" min="12" max="12"/>
    <col width="17" customWidth="1" min="13" max="13"/>
    <col width="10" customWidth="1" min="14" max="14"/>
    <col width="14" customWidth="1" min="15" max="15"/>
    <col width="13" customWidth="1" min="16" max="16"/>
    <col width="15" customWidth="1" min="17" max="17"/>
    <col width="17" customWidth="1" min="18" max="18"/>
    <col width="52" customWidth="1" min="19" max="19"/>
    <col width="16" customWidth="1" min="20" max="20"/>
    <col width="52" customWidth="1" min="21" max="21"/>
    <col width="52" customWidth="1" min="22" max="22"/>
    <col width="12" customWidth="1" min="23" max="23"/>
    <col width="17" customWidth="1" min="24" max="24"/>
    <col width="17" customWidth="1" min="25" max="25"/>
    <col width="17" customWidth="1" min="26" max="26"/>
    <col width="11" customWidth="1" min="27" max="27"/>
    <col width="20" customWidth="1" min="28" max="28"/>
  </cols>
  <sheetData>
    <row r="1" ht="30" customHeight="1">
      <c r="A1" s="1" t="inlineStr">
        <is>
          <t>Case no.</t>
        </is>
      </c>
      <c r="B1" s="1" t="inlineStr">
        <is>
          <t>Logged</t>
        </is>
      </c>
      <c r="C1" s="1" t="inlineStr">
        <is>
          <t>Sev</t>
        </is>
      </c>
      <c r="D1" s="1" t="inlineStr">
        <is>
          <t>Repeat</t>
        </is>
      </c>
      <c r="E1" s="1" t="inlineStr">
        <is>
          <t>Status</t>
        </is>
      </c>
      <c r="F1" s="1" t="inlineStr">
        <is>
          <t>Channel</t>
        </is>
      </c>
      <c r="G1" s="1" t="inlineStr">
        <is>
          <t>Customer</t>
        </is>
      </c>
      <c r="H1" s="1" t="inlineStr">
        <is>
          <t>Work order</t>
        </is>
      </c>
      <c r="I1" s="1" t="inlineStr">
        <is>
          <t>Amount (AED)</t>
        </is>
      </c>
      <c r="J1" s="1" t="inlineStr">
        <is>
          <t>Complaint</t>
        </is>
      </c>
      <c r="K1" s="1" t="inlineStr">
        <is>
          <t>Acknowledged</t>
        </is>
      </c>
      <c r="L1" s="1" t="inlineStr">
        <is>
          <t>Target</t>
        </is>
      </c>
      <c r="M1" s="1" t="inlineStr">
        <is>
          <t>Resolved</t>
        </is>
      </c>
      <c r="N1" s="1" t="inlineStr">
        <is>
          <t>Ack (hrs)</t>
        </is>
      </c>
      <c r="O1" s="1" t="inlineStr">
        <is>
          <t>Resolve (days)</t>
        </is>
      </c>
      <c r="P1" s="1" t="inlineStr">
        <is>
          <t>Within target</t>
        </is>
      </c>
      <c r="Q1" s="1" t="inlineStr">
        <is>
          <t>Outcome</t>
        </is>
      </c>
      <c r="R1" s="1" t="inlineStr">
        <is>
          <t>Outcome told</t>
        </is>
      </c>
      <c r="S1" s="1" t="inlineStr">
        <is>
          <t>Resolution</t>
        </is>
      </c>
      <c r="T1" s="1" t="inlineStr">
        <is>
          <t>Root cause type</t>
        </is>
      </c>
      <c r="U1" s="1" t="inlineStr">
        <is>
          <t>Root cause</t>
        </is>
      </c>
      <c r="V1" s="1" t="inlineStr">
        <is>
          <t>Corrective action</t>
        </is>
      </c>
      <c r="W1" s="1" t="inlineStr">
        <is>
          <t>CA due</t>
        </is>
      </c>
      <c r="X1" s="1" t="inlineStr">
        <is>
          <t>CA closed</t>
        </is>
      </c>
      <c r="Y1" s="1" t="inlineStr">
        <is>
          <t>Cust. confirmed</t>
        </is>
      </c>
      <c r="Z1" s="1" t="inlineStr">
        <is>
          <t>Escalated</t>
        </is>
      </c>
      <c r="AA1" s="1" t="inlineStr">
        <is>
          <t>Authority</t>
        </is>
      </c>
      <c r="AB1" s="1" t="inlineStr">
        <is>
          <t>Owner</t>
        </is>
      </c>
    </row>
    <row r="2">
      <c r="A2" s="2" t="inlineStr">
        <is>
          <t>CMP-20251013-9520</t>
        </is>
      </c>
      <c r="B2" s="3" t="n">
        <v>45943.59440972222</v>
      </c>
      <c r="C2" s="4" t="inlineStr">
        <is>
          <t>S1</t>
        </is>
      </c>
      <c r="D2" s="5" t="inlineStr"/>
      <c r="E2" s="5" t="inlineStr">
        <is>
          <t>resolved</t>
        </is>
      </c>
      <c r="F2" s="5" t="inlineStr">
        <is>
          <t>in_person</t>
        </is>
      </c>
      <c r="G2" s="2" t="inlineStr">
        <is>
          <t>HUMA ASIM HASSAN KORRANI</t>
        </is>
      </c>
      <c r="H2" s="2" t="n"/>
      <c r="I2" s="6" t="n">
        <v>0</v>
      </c>
      <c r="J2" s="7" t="inlineStr">
        <is>
          <t>New brake pads are squealing already, worse than before the service.</t>
        </is>
      </c>
      <c r="K2" s="3" t="n">
        <v>45943.80274305555</v>
      </c>
      <c r="L2" s="3" t="n">
        <v>45945.59440972222</v>
      </c>
      <c r="M2" s="3" t="n">
        <v>45944.92009259259</v>
      </c>
      <c r="N2" s="8">
        <f>IF(K2="","",ROUND((K2-B2)*24,1))</f>
        <v/>
      </c>
      <c r="O2" s="8">
        <f>IF(M2="","",ROUND(M2-B2,1))</f>
        <v/>
      </c>
      <c r="P2" s="9">
        <f>IF(M2="","",IF(M2&lt;=L2,"yes","no"))</f>
        <v/>
      </c>
      <c r="Q2" s="5" t="inlineStr">
        <is>
          <t>goodwill</t>
        </is>
      </c>
      <c r="R2" s="3" t="n">
        <v>45945.21175925926</v>
      </c>
      <c r="S2" s="7" t="inlineStr">
        <is>
          <t>No billing error found, but offered a complimentary detail as a goodwill gesture for the inconvenience.</t>
        </is>
      </c>
      <c r="T2" s="5" t="inlineStr">
        <is>
          <t>machine</t>
        </is>
      </c>
      <c r="U2" s="7" t="inlineStr">
        <is>
          <t>A bay lift service interval was missed, which delayed the job by a day.</t>
        </is>
      </c>
      <c r="V2" s="7" t="inlineStr">
        <is>
          <t>Added a parts-match check against the job card before issue from stores.</t>
        </is>
      </c>
      <c r="W2" s="10" t="n">
        <v>45967</v>
      </c>
      <c r="X2" s="3" t="n"/>
      <c r="Y2" s="3" t="n">
        <v>45945.87842592593</v>
      </c>
      <c r="Z2" s="3" t="n"/>
      <c r="AA2" s="5" t="inlineStr">
        <is>
          <t>manager</t>
        </is>
      </c>
      <c r="AB2" s="2" t="inlineStr">
        <is>
          <t>Priya Menon</t>
        </is>
      </c>
    </row>
    <row r="3">
      <c r="A3" s="2" t="inlineStr">
        <is>
          <t>CMP-20251123-7514</t>
        </is>
      </c>
      <c r="B3" s="3" t="n">
        <v>45984.50039351852</v>
      </c>
      <c r="C3" s="11" t="inlineStr">
        <is>
          <t>S2</t>
        </is>
      </c>
      <c r="D3" s="5" t="inlineStr"/>
      <c r="E3" s="5" t="inlineStr">
        <is>
          <t>resolved</t>
        </is>
      </c>
      <c r="F3" s="5" t="inlineStr">
        <is>
          <t>whatsapp</t>
        </is>
      </c>
      <c r="G3" s="2" t="inlineStr">
        <is>
          <t>AMAN TAXI - SOLE PROPRIETORSHIP L.L.C.(AUH/AA)</t>
        </is>
      </c>
      <c r="H3" s="2" t="n"/>
      <c r="I3" s="6" t="n">
        <v>0</v>
      </c>
      <c r="J3" s="7" t="inlineStr">
        <is>
          <t>Vehicle was ready two days later than promised, with no update until I called in myself.</t>
        </is>
      </c>
      <c r="K3" s="3" t="n">
        <v>45985.08372685185</v>
      </c>
      <c r="L3" s="3" t="n">
        <v>45990.50039351852</v>
      </c>
      <c r="M3" s="3" t="n">
        <v>45989.62472222222</v>
      </c>
      <c r="N3" s="8">
        <f>IF(K3="","",ROUND((K3-B3)*24,1))</f>
        <v/>
      </c>
      <c r="O3" s="8">
        <f>IF(M3="","",ROUND(M3-B3,1))</f>
        <v/>
      </c>
      <c r="P3" s="9">
        <f>IF(M3="","",IF(M3&lt;=L3,"yes","no"))</f>
        <v/>
      </c>
      <c r="Q3" s="5" t="inlineStr">
        <is>
          <t>partial_refund</t>
        </is>
      </c>
      <c r="R3" s="3" t="n">
        <v>45990.29138888889</v>
      </c>
      <c r="S3" s="7" t="inlineStr">
        <is>
          <t>Split the difference: goodwill refund for the delay, full charge retained for the work performed.</t>
        </is>
      </c>
      <c r="T3" s="5" t="n"/>
      <c r="U3" s="7" t="n"/>
      <c r="V3" s="7" t="n"/>
      <c r="W3" s="10" t="n"/>
      <c r="X3" s="3" t="n"/>
      <c r="Y3" s="3" t="n">
        <v>45990.49972222222</v>
      </c>
      <c r="Z3" s="3" t="n"/>
      <c r="AA3" s="5" t="inlineStr">
        <is>
          <t>manager</t>
        </is>
      </c>
      <c r="AB3" s="2" t="inlineStr">
        <is>
          <t>Tarek El Sayed</t>
        </is>
      </c>
    </row>
    <row r="4">
      <c r="A4" s="2" t="inlineStr">
        <is>
          <t>CMP-20251207-2716</t>
        </is>
      </c>
      <c r="B4" s="3" t="n">
        <v>45998.40688657408</v>
      </c>
      <c r="C4" s="11" t="inlineStr">
        <is>
          <t>S2</t>
        </is>
      </c>
      <c r="D4" s="5" t="inlineStr"/>
      <c r="E4" s="5" t="inlineStr">
        <is>
          <t>resolved</t>
        </is>
      </c>
      <c r="F4" s="5" t="inlineStr">
        <is>
          <t>in_person</t>
        </is>
      </c>
      <c r="G4" s="2" t="inlineStr">
        <is>
          <t>Abdallah Bsileh</t>
        </is>
      </c>
      <c r="H4" s="2" t="n"/>
      <c r="I4" s="6" t="n">
        <v>85</v>
      </c>
      <c r="J4" s="7" t="inlineStr">
        <is>
          <t>Invoice included a diagnostic fee I was told would be waived since I went ahead with the repair.</t>
        </is>
      </c>
      <c r="K4" s="3" t="n">
        <v>45999.11521990741</v>
      </c>
      <c r="L4" s="3" t="n">
        <v>46004.40688657408</v>
      </c>
      <c r="M4" s="3" t="n">
        <v>46004.90688657408</v>
      </c>
      <c r="N4" s="8">
        <f>IF(K4="","",ROUND((K4-B4)*24,1))</f>
        <v/>
      </c>
      <c r="O4" s="8">
        <f>IF(M4="","",ROUND(M4-B4,1))</f>
        <v/>
      </c>
      <c r="P4" s="9">
        <f>IF(M4="","",IF(M4&lt;=L4,"yes","no"))</f>
        <v/>
      </c>
      <c r="Q4" s="5" t="inlineStr">
        <is>
          <t>goodwill</t>
        </is>
      </c>
      <c r="R4" s="3" t="n">
        <v>46004.90688657408</v>
      </c>
      <c r="S4" s="7" t="inlineStr">
        <is>
          <t>No billing error found, but offered a complimentary detail as a goodwill gesture for the inconvenience.</t>
        </is>
      </c>
      <c r="T4" s="5" t="n"/>
      <c r="U4" s="7" t="n"/>
      <c r="V4" s="7" t="n"/>
      <c r="W4" s="10" t="n"/>
      <c r="X4" s="3" t="n"/>
      <c r="Y4" s="3" t="n"/>
      <c r="Z4" s="3" t="n"/>
      <c r="AA4" s="5" t="inlineStr">
        <is>
          <t>manager</t>
        </is>
      </c>
      <c r="AB4" s="2" t="inlineStr">
        <is>
          <t>Priya Menon</t>
        </is>
      </c>
    </row>
    <row r="5">
      <c r="A5" s="2" t="inlineStr">
        <is>
          <t>CMP-20251209-5216</t>
        </is>
      </c>
      <c r="B5" s="3" t="n">
        <v>46000.53157407408</v>
      </c>
      <c r="C5" s="11" t="inlineStr">
        <is>
          <t>S2</t>
        </is>
      </c>
      <c r="D5" s="5" t="inlineStr"/>
      <c r="E5" s="5" t="inlineStr">
        <is>
          <t>resolved</t>
        </is>
      </c>
      <c r="F5" s="5" t="inlineStr">
        <is>
          <t>email</t>
        </is>
      </c>
      <c r="G5" s="2" t="inlineStr">
        <is>
          <t>PRUDHVI TEJ VUNDRU</t>
        </is>
      </c>
      <c r="H5" s="2" t="n"/>
      <c r="I5" s="6" t="n">
        <v>0</v>
      </c>
      <c r="J5" s="7" t="inlineStr">
        <is>
          <t>Paint touch-up doesn't match the original colour on the panel.</t>
        </is>
      </c>
      <c r="K5" s="3" t="n">
        <v>46001.11490740741</v>
      </c>
      <c r="L5" s="3" t="n">
        <v>46006.53157407408</v>
      </c>
      <c r="M5" s="3" t="n">
        <v>46004.78914351852</v>
      </c>
      <c r="N5" s="8">
        <f>IF(K5="","",ROUND((K5-B5)*24,1))</f>
        <v/>
      </c>
      <c r="O5" s="8">
        <f>IF(M5="","",ROUND(M5-B5,1))</f>
        <v/>
      </c>
      <c r="P5" s="9">
        <f>IF(M5="","",IF(M5&lt;=L5,"yes","no"))</f>
        <v/>
      </c>
      <c r="Q5" s="5" t="inlineStr">
        <is>
          <t>charge_correct</t>
        </is>
      </c>
      <c r="R5" s="3" t="n">
        <v>46005.24747685185</v>
      </c>
      <c r="S5" s="7" t="inlineStr">
        <is>
          <t>Estimate covered parts only per the original quote; the labour line was itemised separately from the start. No adjustment due.</t>
        </is>
      </c>
      <c r="T5" s="5" t="n"/>
      <c r="U5" s="7" t="n"/>
      <c r="V5" s="7" t="n"/>
      <c r="W5" s="10" t="n"/>
      <c r="X5" s="3" t="n"/>
      <c r="Y5" s="3" t="n"/>
      <c r="Z5" s="3" t="n"/>
      <c r="AA5" s="5" t="inlineStr">
        <is>
          <t>manager</t>
        </is>
      </c>
      <c r="AB5" s="2" t="inlineStr">
        <is>
          <t>Workshop Manager</t>
        </is>
      </c>
    </row>
    <row r="6">
      <c r="A6" s="2" t="inlineStr">
        <is>
          <t>CMP-20260113-8855</t>
        </is>
      </c>
      <c r="B6" s="3" t="n">
        <v>46035.59443287037</v>
      </c>
      <c r="C6" s="11" t="inlineStr">
        <is>
          <t>S2</t>
        </is>
      </c>
      <c r="D6" s="5" t="inlineStr"/>
      <c r="E6" s="5" t="inlineStr">
        <is>
          <t>closed</t>
        </is>
      </c>
      <c r="F6" s="5" t="inlineStr">
        <is>
          <t>in_person</t>
        </is>
      </c>
      <c r="G6" s="2" t="inlineStr">
        <is>
          <t>SAEED OMEIR YOUSEF AHMED ALMH</t>
        </is>
      </c>
      <c r="H6" s="2" t="n"/>
      <c r="I6" s="6" t="n">
        <v>0</v>
      </c>
      <c r="J6" s="7" t="inlineStr">
        <is>
          <t>AC still isn't cooling properly after paying for the recharge service.</t>
        </is>
      </c>
      <c r="K6" s="3" t="n">
        <v>46035.84443287037</v>
      </c>
      <c r="L6" s="3" t="n">
        <v>46041.59443287037</v>
      </c>
      <c r="M6" s="3" t="n">
        <v>46039.29872685186</v>
      </c>
      <c r="N6" s="8">
        <f>IF(K6="","",ROUND((K6-B6)*24,1))</f>
        <v/>
      </c>
      <c r="O6" s="8">
        <f>IF(M6="","",ROUND(M6-B6,1))</f>
        <v/>
      </c>
      <c r="P6" s="9">
        <f>IF(M6="","",IF(M6&lt;=L6,"yes","no"))</f>
        <v/>
      </c>
      <c r="Q6" s="5" t="inlineStr">
        <is>
          <t>refund_due</t>
        </is>
      </c>
      <c r="R6" s="3" t="n">
        <v>46039.71539351852</v>
      </c>
      <c r="S6" s="7" t="inlineStr">
        <is>
          <t>Reviewed the job card against the original estimate — the extra charge was not pre-approved, so a refund was issued for the difference.</t>
        </is>
      </c>
      <c r="T6" s="5" t="n"/>
      <c r="U6" s="7" t="n"/>
      <c r="V6" s="7" t="n"/>
      <c r="W6" s="10" t="n"/>
      <c r="X6" s="3" t="n"/>
      <c r="Y6" s="3" t="n">
        <v>46041.29872685186</v>
      </c>
      <c r="Z6" s="3" t="n"/>
      <c r="AA6" s="5" t="inlineStr">
        <is>
          <t>manager</t>
        </is>
      </c>
      <c r="AB6" s="2" t="inlineStr">
        <is>
          <t>Tarek El Sayed</t>
        </is>
      </c>
    </row>
    <row r="7">
      <c r="A7" s="2" t="inlineStr">
        <is>
          <t>CMP-20260124-6300</t>
        </is>
      </c>
      <c r="B7" s="3" t="n">
        <v>46046.36476851852</v>
      </c>
      <c r="C7" s="11" t="inlineStr">
        <is>
          <t>S2</t>
        </is>
      </c>
      <c r="D7" s="5" t="inlineStr"/>
      <c r="E7" s="5" t="inlineStr">
        <is>
          <t>closed</t>
        </is>
      </c>
      <c r="F7" s="5" t="inlineStr">
        <is>
          <t>in_person</t>
        </is>
      </c>
      <c r="G7" s="2" t="inlineStr">
        <is>
          <t>FAISAL KUNHABDULLA KUNHABDULLA</t>
        </is>
      </c>
      <c r="H7" s="2" t="n"/>
      <c r="I7" s="6" t="n">
        <v>0</v>
      </c>
      <c r="J7" s="7" t="inlineStr">
        <is>
          <t>The service reminder light was never reset after the oil change.</t>
        </is>
      </c>
      <c r="K7" s="3" t="n">
        <v>46046.44810185185</v>
      </c>
      <c r="L7" s="3" t="n">
        <v>46051.36476851852</v>
      </c>
      <c r="M7" s="3" t="n">
        <v>46053.40643518518</v>
      </c>
      <c r="N7" s="8">
        <f>IF(K7="","",ROUND((K7-B7)*24,1))</f>
        <v/>
      </c>
      <c r="O7" s="8">
        <f>IF(M7="","",ROUND(M7-B7,1))</f>
        <v/>
      </c>
      <c r="P7" s="9">
        <f>IF(M7="","",IF(M7&lt;=L7,"yes","no"))</f>
        <v/>
      </c>
      <c r="Q7" s="5" t="inlineStr">
        <is>
          <t>goodwill</t>
        </is>
      </c>
      <c r="R7" s="3" t="n">
        <v>46054.07310185185</v>
      </c>
      <c r="S7" s="7" t="inlineStr">
        <is>
          <t>No billing error found, but offered a complimentary detail as a goodwill gesture for the inconvenience.</t>
        </is>
      </c>
      <c r="T7" s="5" t="n"/>
      <c r="U7" s="7" t="n"/>
      <c r="V7" s="7" t="n"/>
      <c r="W7" s="10" t="n"/>
      <c r="X7" s="3" t="n"/>
      <c r="Y7" s="3" t="n">
        <v>46055.15643518518</v>
      </c>
      <c r="Z7" s="3" t="n"/>
      <c r="AA7" s="5" t="inlineStr">
        <is>
          <t>manager</t>
        </is>
      </c>
      <c r="AB7" s="2" t="inlineStr">
        <is>
          <t>Workshop Manager</t>
        </is>
      </c>
    </row>
    <row r="8">
      <c r="A8" s="2" t="inlineStr">
        <is>
          <t>CMP-20260209-5728</t>
        </is>
      </c>
      <c r="B8" s="3" t="n">
        <v>46062.75006944445</v>
      </c>
      <c r="C8" s="11" t="inlineStr">
        <is>
          <t>S2</t>
        </is>
      </c>
      <c r="D8" s="5" t="inlineStr"/>
      <c r="E8" s="5" t="inlineStr">
        <is>
          <t>closed</t>
        </is>
      </c>
      <c r="F8" s="5" t="inlineStr">
        <is>
          <t>phone</t>
        </is>
      </c>
      <c r="G8" s="2" t="inlineStr">
        <is>
          <t>FAHAD MOHAMAD SHAHDAD ALBLOUSHI</t>
        </is>
      </c>
      <c r="H8" s="2" t="n"/>
      <c r="I8" s="6" t="n">
        <v>133</v>
      </c>
      <c r="J8" s="7" t="inlineStr">
        <is>
          <t>Invoice included a diagnostic fee I was told would be waived since I went ahead with the repair.</t>
        </is>
      </c>
      <c r="K8" s="3" t="n">
        <v>46062.91673611111</v>
      </c>
      <c r="L8" s="3" t="n">
        <v>46068.75006944445</v>
      </c>
      <c r="M8" s="3" t="n">
        <v>46068.20300925926</v>
      </c>
      <c r="N8" s="8">
        <f>IF(K8="","",ROUND((K8-B8)*24,1))</f>
        <v/>
      </c>
      <c r="O8" s="8">
        <f>IF(M8="","",ROUND(M8-B8,1))</f>
        <v/>
      </c>
      <c r="P8" s="9">
        <f>IF(M8="","",IF(M8&lt;=L8,"yes","no"))</f>
        <v/>
      </c>
      <c r="Q8" s="5" t="inlineStr">
        <is>
          <t>charge_correct</t>
        </is>
      </c>
      <c r="R8" s="3" t="n">
        <v>46068.53634259259</v>
      </c>
      <c r="S8" s="7" t="inlineStr">
        <is>
          <t>Walked the customer through the job card and photos taken during the work — the additional labour matched what was actually required. Charge stands, explained clearly.</t>
        </is>
      </c>
      <c r="T8" s="5" t="n"/>
      <c r="U8" s="7" t="n"/>
      <c r="V8" s="7" t="n"/>
      <c r="W8" s="10" t="n"/>
      <c r="X8" s="3" t="n"/>
      <c r="Y8" s="3" t="n">
        <v>46070.16134259259</v>
      </c>
      <c r="Z8" s="3" t="n"/>
      <c r="AA8" s="5" t="inlineStr">
        <is>
          <t>manager</t>
        </is>
      </c>
      <c r="AB8" s="2" t="inlineStr">
        <is>
          <t>Workshop Manager</t>
        </is>
      </c>
    </row>
    <row r="9">
      <c r="A9" s="2" t="inlineStr">
        <is>
          <t>CMP-20260216-7892</t>
        </is>
      </c>
      <c r="B9" s="3" t="n">
        <v>46069.47947916666</v>
      </c>
      <c r="C9" s="11" t="inlineStr">
        <is>
          <t>S2</t>
        </is>
      </c>
      <c r="D9" s="5" t="inlineStr"/>
      <c r="E9" s="5" t="inlineStr">
        <is>
          <t>closed</t>
        </is>
      </c>
      <c r="F9" s="5" t="inlineStr">
        <is>
          <t>in_person</t>
        </is>
      </c>
      <c r="G9" s="2" t="inlineStr">
        <is>
          <t>MR-AHMED DAKHLAOUI</t>
        </is>
      </c>
      <c r="H9" s="2" t="n"/>
      <c r="I9" s="6" t="n">
        <v>1148</v>
      </c>
      <c r="J9" s="7" t="inlineStr">
        <is>
          <t>Wasn't told the warranty wouldn't cover the part that was replaced, only found out on the invoice.</t>
        </is>
      </c>
      <c r="K9" s="3" t="n">
        <v>46069.8128125</v>
      </c>
      <c r="L9" s="3" t="n">
        <v>46075.47947916666</v>
      </c>
      <c r="M9" s="3" t="n">
        <v>46074.39167824074</v>
      </c>
      <c r="N9" s="8">
        <f>IF(K9="","",ROUND((K9-B9)*24,1))</f>
        <v/>
      </c>
      <c r="O9" s="8">
        <f>IF(M9="","",ROUND(M9-B9,1))</f>
        <v/>
      </c>
      <c r="P9" s="9">
        <f>IF(M9="","",IF(M9&lt;=L9,"yes","no"))</f>
        <v/>
      </c>
      <c r="Q9" s="5" t="inlineStr">
        <is>
          <t>refund_due</t>
        </is>
      </c>
      <c r="R9" s="3" t="n">
        <v>46075.39167824074</v>
      </c>
      <c r="S9" s="7" t="inlineStr">
        <is>
          <t>Reviewed the job card against the original estimate — the extra charge was not pre-approved, so a refund was issued for the difference.</t>
        </is>
      </c>
      <c r="T9" s="5" t="n"/>
      <c r="U9" s="7" t="n"/>
      <c r="V9" s="7" t="n"/>
      <c r="W9" s="10" t="n"/>
      <c r="X9" s="3" t="n"/>
      <c r="Y9" s="3" t="n">
        <v>46075.4333449074</v>
      </c>
      <c r="Z9" s="3" t="n"/>
      <c r="AA9" s="5" t="inlineStr">
        <is>
          <t>manager</t>
        </is>
      </c>
      <c r="AB9" s="2" t="inlineStr">
        <is>
          <t>Nadia Khoury</t>
        </is>
      </c>
    </row>
    <row r="10">
      <c r="A10" s="2" t="inlineStr">
        <is>
          <t>CMP-20260228-9281</t>
        </is>
      </c>
      <c r="B10" s="3" t="n">
        <v>46081.67725694444</v>
      </c>
      <c r="C10" s="11" t="inlineStr">
        <is>
          <t>S2</t>
        </is>
      </c>
      <c r="D10" s="5" t="inlineStr"/>
      <c r="E10" s="5" t="inlineStr">
        <is>
          <t>resolved</t>
        </is>
      </c>
      <c r="F10" s="5" t="inlineStr">
        <is>
          <t>whatsapp</t>
        </is>
      </c>
      <c r="G10" s="2" t="inlineStr">
        <is>
          <t>ABDULAZIZ SULTAN OBAID</t>
        </is>
      </c>
      <c r="H10" s="2" t="n"/>
      <c r="I10" s="6" t="n">
        <v>629</v>
      </c>
      <c r="J10" s="7" t="inlineStr">
        <is>
          <t>Was quoted one price over the phone and charged a higher one at pickup.</t>
        </is>
      </c>
      <c r="K10" s="3" t="n">
        <v>46081.92725694444</v>
      </c>
      <c r="L10" s="3" t="n">
        <v>46086.67725694444</v>
      </c>
      <c r="M10" s="3" t="n">
        <v>46084.60060185185</v>
      </c>
      <c r="N10" s="8">
        <f>IF(K10="","",ROUND((K10-B10)*24,1))</f>
        <v/>
      </c>
      <c r="O10" s="8">
        <f>IF(M10="","",ROUND(M10-B10,1))</f>
        <v/>
      </c>
      <c r="P10" s="9">
        <f>IF(M10="","",IF(M10&lt;=L10,"yes","no"))</f>
        <v/>
      </c>
      <c r="Q10" s="5" t="inlineStr">
        <is>
          <t>goodwill</t>
        </is>
      </c>
      <c r="R10" s="3" t="n">
        <v>46085.51726851852</v>
      </c>
      <c r="S10" s="7" t="inlineStr">
        <is>
          <t>Free re-check booked at no charge and a discount applied to the next visit as a gesture of goodwill.</t>
        </is>
      </c>
      <c r="T10" s="5" t="inlineStr">
        <is>
          <t>machine</t>
        </is>
      </c>
      <c r="U10" s="7" t="inlineStr">
        <is>
          <t>A bay lift service interval was missed, which delayed the job by a day.</t>
        </is>
      </c>
      <c r="V10" s="7" t="inlineStr">
        <is>
          <t>Callback checklist step made mandatory regardless of workload, with a supervisor spot-check.</t>
        </is>
      </c>
      <c r="W10" s="10" t="n">
        <v>46100</v>
      </c>
      <c r="X10" s="3" t="n"/>
      <c r="Y10" s="3" t="n"/>
      <c r="Z10" s="3" t="n"/>
      <c r="AA10" s="5" t="inlineStr">
        <is>
          <t>manager</t>
        </is>
      </c>
      <c r="AB10" s="2" t="inlineStr">
        <is>
          <t>Nadia Khoury</t>
        </is>
      </c>
    </row>
    <row r="11">
      <c r="A11" s="2" t="inlineStr">
        <is>
          <t>CMP-20260307-6577</t>
        </is>
      </c>
      <c r="B11" s="3" t="n">
        <v>46088.37505787037</v>
      </c>
      <c r="C11" s="11" t="inlineStr">
        <is>
          <t>S2</t>
        </is>
      </c>
      <c r="D11" s="5" t="inlineStr"/>
      <c r="E11" s="5" t="inlineStr">
        <is>
          <t>resolved</t>
        </is>
      </c>
      <c r="F11" s="5" t="inlineStr">
        <is>
          <t>email</t>
        </is>
      </c>
      <c r="G11" s="2" t="inlineStr">
        <is>
          <t>MR-MUBARAKA MOHAMED AHMED ALME</t>
        </is>
      </c>
      <c r="H11" s="2" t="n"/>
      <c r="I11" s="6" t="n">
        <v>0</v>
      </c>
      <c r="J11" s="7" t="inlineStr">
        <is>
          <t>The wrong part was fitted — had to bring the car back a second time for the same job.</t>
        </is>
      </c>
      <c r="K11" s="3" t="n">
        <v>46089.62505787037</v>
      </c>
      <c r="L11" s="3" t="n">
        <v>46093.37505787037</v>
      </c>
      <c r="M11" s="3" t="n">
        <v>46091.69957175926</v>
      </c>
      <c r="N11" s="8">
        <f>IF(K11="","",ROUND((K11-B11)*24,1))</f>
        <v/>
      </c>
      <c r="O11" s="8">
        <f>IF(M11="","",ROUND(M11-B11,1))</f>
        <v/>
      </c>
      <c r="P11" s="9">
        <f>IF(M11="","",IF(M11&lt;=L11,"yes","no"))</f>
        <v/>
      </c>
      <c r="Q11" s="5" t="inlineStr">
        <is>
          <t>goodwill</t>
        </is>
      </c>
      <c r="R11" s="3" t="n">
        <v>46092.49123842592</v>
      </c>
      <c r="S11" s="7" t="inlineStr">
        <is>
          <t>Free re-check booked at no charge and a discount applied to the next visit as a gesture of goodwill.</t>
        </is>
      </c>
      <c r="T11" s="5" t="n"/>
      <c r="U11" s="7" t="n"/>
      <c r="V11" s="7" t="n"/>
      <c r="W11" s="10" t="n"/>
      <c r="X11" s="3" t="n"/>
      <c r="Y11" s="3" t="n">
        <v>46093.90790509259</v>
      </c>
      <c r="Z11" s="3" t="n"/>
      <c r="AA11" s="5" t="inlineStr">
        <is>
          <t>manager</t>
        </is>
      </c>
      <c r="AB11" s="2" t="inlineStr">
        <is>
          <t>Workshop Manager</t>
        </is>
      </c>
    </row>
    <row r="12">
      <c r="A12" s="2" t="inlineStr">
        <is>
          <t>CMP-20260317-2464</t>
        </is>
      </c>
      <c r="B12" s="3" t="n">
        <v>46098.36518518518</v>
      </c>
      <c r="C12" s="11" t="inlineStr">
        <is>
          <t>S2</t>
        </is>
      </c>
      <c r="D12" s="5" t="inlineStr"/>
      <c r="E12" s="5" t="inlineStr">
        <is>
          <t>resolved</t>
        </is>
      </c>
      <c r="F12" s="5" t="inlineStr">
        <is>
          <t>phone</t>
        </is>
      </c>
      <c r="G12" s="2" t="inlineStr">
        <is>
          <t>PRIYANKA JEGANATHAN BHARAT KUMAR</t>
        </is>
      </c>
      <c r="H12" s="2" t="n"/>
      <c r="I12" s="6" t="n">
        <v>0</v>
      </c>
      <c r="J12" s="7" t="inlineStr">
        <is>
          <t>The wrong part was fitted — had to bring the car back a second time for the same job.</t>
        </is>
      </c>
      <c r="K12" s="3" t="n">
        <v>46098.53185185185</v>
      </c>
      <c r="L12" s="3" t="n">
        <v>46104.36518518518</v>
      </c>
      <c r="M12" s="3" t="n">
        <v>46102.92177083333</v>
      </c>
      <c r="N12" s="8">
        <f>IF(K12="","",ROUND((K12-B12)*24,1))</f>
        <v/>
      </c>
      <c r="O12" s="8">
        <f>IF(M12="","",ROUND(M12-B12,1))</f>
        <v/>
      </c>
      <c r="P12" s="9">
        <f>IF(M12="","",IF(M12&lt;=L12,"yes","no"))</f>
        <v/>
      </c>
      <c r="Q12" s="5" t="inlineStr">
        <is>
          <t>goodwill</t>
        </is>
      </c>
      <c r="R12" s="3" t="n">
        <v>46103.38010416667</v>
      </c>
      <c r="S12" s="7" t="inlineStr">
        <is>
          <t>Free re-check booked at no charge and a discount applied to the next visit as a gesture of goodwill.</t>
        </is>
      </c>
      <c r="T12" s="5" t="n"/>
      <c r="U12" s="7" t="n"/>
      <c r="V12" s="7" t="n"/>
      <c r="W12" s="10" t="n"/>
      <c r="X12" s="3" t="n"/>
      <c r="Y12" s="3" t="n">
        <v>46104.4634375</v>
      </c>
      <c r="Z12" s="3" t="n"/>
      <c r="AA12" s="5" t="inlineStr">
        <is>
          <t>manager</t>
        </is>
      </c>
      <c r="AB12" s="2" t="inlineStr">
        <is>
          <t>Workshop Manager</t>
        </is>
      </c>
    </row>
    <row r="13">
      <c r="A13" s="2" t="inlineStr">
        <is>
          <t>CMP-20260322-2157</t>
        </is>
      </c>
      <c r="B13" s="3" t="n">
        <v>46103.80240740741</v>
      </c>
      <c r="C13" s="12" t="inlineStr">
        <is>
          <t>S3</t>
        </is>
      </c>
      <c r="D13" s="5" t="inlineStr"/>
      <c r="E13" s="5" t="inlineStr">
        <is>
          <t>closed</t>
        </is>
      </c>
      <c r="F13" s="5" t="inlineStr">
        <is>
          <t>phone</t>
        </is>
      </c>
      <c r="G13" s="2" t="inlineStr">
        <is>
          <t>DINESH MALLIA LAKSHMANA MALLIA</t>
        </is>
      </c>
      <c r="H13" s="2" t="n"/>
      <c r="I13" s="6" t="n">
        <v>0</v>
      </c>
      <c r="J13" s="7" t="inlineStr">
        <is>
          <t>Left a voicemail for a status update four days ago, still no callback.</t>
        </is>
      </c>
      <c r="K13" s="3" t="n">
        <v>46104.59407407408</v>
      </c>
      <c r="L13" s="3" t="n">
        <v>46106.80240740741</v>
      </c>
      <c r="M13" s="3" t="n">
        <v>46106.35711805556</v>
      </c>
      <c r="N13" s="8">
        <f>IF(K13="","",ROUND((K13-B13)*24,1))</f>
        <v/>
      </c>
      <c r="O13" s="8">
        <f>IF(M13="","",ROUND(M13-B13,1))</f>
        <v/>
      </c>
      <c r="P13" s="9">
        <f>IF(M13="","",IF(M13&lt;=L13,"yes","no"))</f>
        <v/>
      </c>
      <c r="Q13" s="5" t="inlineStr">
        <is>
          <t>partial_refund</t>
        </is>
      </c>
      <c r="R13" s="3" t="n">
        <v>46106.64878472222</v>
      </c>
      <c r="S13" s="7" t="inlineStr">
        <is>
          <t>Split the difference: goodwill refund for the delay, full charge retained for the work performed.</t>
        </is>
      </c>
      <c r="T13" s="5" t="n"/>
      <c r="U13" s="7" t="n"/>
      <c r="V13" s="7" t="n"/>
      <c r="W13" s="10" t="n"/>
      <c r="X13" s="3" t="n"/>
      <c r="Y13" s="3" t="n">
        <v>46108.56545138889</v>
      </c>
      <c r="Z13" s="3" t="n"/>
      <c r="AA13" s="5" t="inlineStr">
        <is>
          <t>advisor</t>
        </is>
      </c>
      <c r="AB13" s="2" t="inlineStr">
        <is>
          <t>Tarek El Sayed</t>
        </is>
      </c>
    </row>
    <row r="14">
      <c r="A14" s="2" t="inlineStr">
        <is>
          <t>CMP-20260326-7184</t>
        </is>
      </c>
      <c r="B14" s="3" t="n">
        <v>46107.79174768519</v>
      </c>
      <c r="C14" s="11" t="inlineStr">
        <is>
          <t>S2</t>
        </is>
      </c>
      <c r="D14" s="5" t="inlineStr"/>
      <c r="E14" s="5" t="inlineStr">
        <is>
          <t>resolved</t>
        </is>
      </c>
      <c r="F14" s="5" t="inlineStr">
        <is>
          <t>phone</t>
        </is>
      </c>
      <c r="G14" s="2" t="inlineStr">
        <is>
          <t>ARCHANA SURESH BABU</t>
        </is>
      </c>
      <c r="H14" s="2" t="n"/>
      <c r="I14" s="6" t="n">
        <v>0</v>
      </c>
      <c r="J14" s="7" t="inlineStr">
        <is>
          <t>Car came back with a scratch on the bumper that wasn't there at drop-off.</t>
        </is>
      </c>
      <c r="K14" s="3" t="n">
        <v>46109.75008101852</v>
      </c>
      <c r="L14" s="3" t="n">
        <v>46113.79174768519</v>
      </c>
      <c r="M14" s="3" t="n">
        <v>46113.68505787037</v>
      </c>
      <c r="N14" s="8">
        <f>IF(K14="","",ROUND((K14-B14)*24,1))</f>
        <v/>
      </c>
      <c r="O14" s="8">
        <f>IF(M14="","",ROUND(M14-B14,1))</f>
        <v/>
      </c>
      <c r="P14" s="9">
        <f>IF(M14="","",IF(M14&lt;=L14,"yes","no"))</f>
        <v/>
      </c>
      <c r="Q14" s="5" t="inlineStr">
        <is>
          <t>refund_due</t>
        </is>
      </c>
      <c r="R14" s="3" t="n">
        <v>46113.93505787037</v>
      </c>
      <c r="S14" s="7" t="inlineStr">
        <is>
          <t>Confirmed the part billed was not the one fitted. Refunded the line item.</t>
        </is>
      </c>
      <c r="T14" s="5" t="n"/>
      <c r="U14" s="7" t="n"/>
      <c r="V14" s="7" t="n"/>
      <c r="W14" s="10" t="n"/>
      <c r="X14" s="3" t="n"/>
      <c r="Y14" s="3" t="n"/>
      <c r="Z14" s="3" t="n"/>
      <c r="AA14" s="5" t="inlineStr">
        <is>
          <t>manager</t>
        </is>
      </c>
      <c r="AB14" s="2" t="inlineStr">
        <is>
          <t>Nadia Khoury</t>
        </is>
      </c>
    </row>
    <row r="15">
      <c r="A15" s="2" t="inlineStr">
        <is>
          <t>CMP-20260401-7012</t>
        </is>
      </c>
      <c r="B15" s="3" t="n">
        <v>46113.55255787037</v>
      </c>
      <c r="C15" s="4" t="inlineStr">
        <is>
          <t>S1</t>
        </is>
      </c>
      <c r="D15" s="5" t="inlineStr"/>
      <c r="E15" s="5" t="inlineStr">
        <is>
          <t>investigating</t>
        </is>
      </c>
      <c r="F15" s="5" t="inlineStr">
        <is>
          <t>phone</t>
        </is>
      </c>
      <c r="G15" s="2" t="inlineStr">
        <is>
          <t>PETER NIGEL SOOSAI MECHAEL</t>
        </is>
      </c>
      <c r="H15" s="2" t="n"/>
      <c r="I15" s="6" t="n">
        <v>0</v>
      </c>
      <c r="J15" s="7" t="inlineStr">
        <is>
          <t>The same noise came back within a week of the repair it was supposedly fixed for.</t>
        </is>
      </c>
      <c r="K15" s="3" t="n">
        <v>46114.09422453704</v>
      </c>
      <c r="L15" s="3" t="n">
        <v>46116.55255787037</v>
      </c>
      <c r="M15" s="3" t="n"/>
      <c r="N15" s="8">
        <f>IF(K15="","",ROUND((K15-B15)*24,1))</f>
        <v/>
      </c>
      <c r="O15" s="8">
        <f>IF(M15="","",ROUND(M15-B15,1))</f>
        <v/>
      </c>
      <c r="P15" s="9">
        <f>IF(M15="","",IF(M15&lt;=L15,"yes","no"))</f>
        <v/>
      </c>
      <c r="Q15" s="5" t="inlineStr">
        <is>
          <t>pending</t>
        </is>
      </c>
      <c r="R15" s="3" t="n"/>
      <c r="S15" s="7" t="n"/>
      <c r="T15" s="5" t="n"/>
      <c r="U15" s="7" t="n"/>
      <c r="V15" s="7" t="n"/>
      <c r="W15" s="10" t="n"/>
      <c r="X15" s="3" t="n"/>
      <c r="Y15" s="3" t="n"/>
      <c r="Z15" s="3" t="n">
        <v>46118.46922453704</v>
      </c>
      <c r="AA15" s="5" t="inlineStr">
        <is>
          <t>senior</t>
        </is>
      </c>
      <c r="AB15" s="2" t="inlineStr">
        <is>
          <t>Tarek El Sayed</t>
        </is>
      </c>
    </row>
    <row r="16">
      <c r="A16" s="2" t="inlineStr">
        <is>
          <t>CMP-20260402-5537</t>
        </is>
      </c>
      <c r="B16" s="3" t="n">
        <v>46114.39587962963</v>
      </c>
      <c r="C16" s="11" t="inlineStr">
        <is>
          <t>S2</t>
        </is>
      </c>
      <c r="D16" s="5" t="inlineStr"/>
      <c r="E16" s="5" t="inlineStr">
        <is>
          <t>closed</t>
        </is>
      </c>
      <c r="F16" s="5" t="inlineStr">
        <is>
          <t>email</t>
        </is>
      </c>
      <c r="G16" s="2" t="inlineStr">
        <is>
          <t>RATHEESH POILINGAL KRISHNANKUTTY</t>
        </is>
      </c>
      <c r="H16" s="2" t="n"/>
      <c r="I16" s="6" t="n">
        <v>811</v>
      </c>
      <c r="J16" s="7" t="inlineStr">
        <is>
          <t>Wasn't told the warranty wouldn't cover the part that was replaced, only found out on the invoice.</t>
        </is>
      </c>
      <c r="K16" s="3" t="n">
        <v>46114.52087962963</v>
      </c>
      <c r="L16" s="3" t="n">
        <v>46120.39587962963</v>
      </c>
      <c r="M16" s="3" t="n">
        <v>46118.43375</v>
      </c>
      <c r="N16" s="8">
        <f>IF(K16="","",ROUND((K16-B16)*24,1))</f>
        <v/>
      </c>
      <c r="O16" s="8">
        <f>IF(M16="","",ROUND(M16-B16,1))</f>
        <v/>
      </c>
      <c r="P16" s="9">
        <f>IF(M16="","",IF(M16&lt;=L16,"yes","no"))</f>
        <v/>
      </c>
      <c r="Q16" s="5" t="inlineStr">
        <is>
          <t>charge_correct</t>
        </is>
      </c>
      <c r="R16" s="3" t="n">
        <v>46118.85041666667</v>
      </c>
      <c r="S16" s="7" t="inlineStr">
        <is>
          <t>Walked the customer through the job card and photos taken during the work — the additional labour matched what was actually required. Charge stands, explained clearly.</t>
        </is>
      </c>
      <c r="T16" s="5" t="n"/>
      <c r="U16" s="7" t="n"/>
      <c r="V16" s="7" t="n"/>
      <c r="W16" s="10" t="n"/>
      <c r="X16" s="3" t="n"/>
      <c r="Y16" s="3" t="n">
        <v>46119.72541666667</v>
      </c>
      <c r="Z16" s="3" t="n"/>
      <c r="AA16" s="5" t="inlineStr">
        <is>
          <t>manager</t>
        </is>
      </c>
      <c r="AB16" s="2" t="inlineStr">
        <is>
          <t>Workshop Manager</t>
        </is>
      </c>
    </row>
    <row r="17">
      <c r="A17" s="2" t="inlineStr">
        <is>
          <t>CMP-20260402-8174</t>
        </is>
      </c>
      <c r="B17" s="3" t="n">
        <v>46114.79175925926</v>
      </c>
      <c r="C17" s="11" t="inlineStr">
        <is>
          <t>S2</t>
        </is>
      </c>
      <c r="D17" s="5" t="inlineStr"/>
      <c r="E17" s="5" t="inlineStr">
        <is>
          <t>resolved</t>
        </is>
      </c>
      <c r="F17" s="5" t="inlineStr">
        <is>
          <t>phone</t>
        </is>
      </c>
      <c r="G17" s="2" t="inlineStr">
        <is>
          <t>ABHAI ASOKAN ASOKAN DIVAKARAN</t>
        </is>
      </c>
      <c r="H17" s="2" t="n"/>
      <c r="I17" s="6" t="n">
        <v>0</v>
      </c>
      <c r="J17" s="7" t="inlineStr">
        <is>
          <t>The service reminder light was never reset after the oil change.</t>
        </is>
      </c>
      <c r="K17" s="3" t="n">
        <v>46115.54175925926</v>
      </c>
      <c r="L17" s="3" t="n">
        <v>46120.79175925926</v>
      </c>
      <c r="M17" s="3" t="n">
        <v>46120.58841435185</v>
      </c>
      <c r="N17" s="8">
        <f>IF(K17="","",ROUND((K17-B17)*24,1))</f>
        <v/>
      </c>
      <c r="O17" s="8">
        <f>IF(M17="","",ROUND(M17-B17,1))</f>
        <v/>
      </c>
      <c r="P17" s="9">
        <f>IF(M17="","",IF(M17&lt;=L17,"yes","no"))</f>
        <v/>
      </c>
      <c r="Q17" s="5" t="inlineStr">
        <is>
          <t>refund_due</t>
        </is>
      </c>
      <c r="R17" s="3" t="n"/>
      <c r="S17" s="7" t="inlineStr">
        <is>
          <t>Reviewed the job card against the original estimate — the extra charge was not pre-approved, so a refund was issued for the difference.</t>
        </is>
      </c>
      <c r="T17" s="5" t="inlineStr">
        <is>
          <t>machine</t>
        </is>
      </c>
      <c r="U17" s="7" t="inlineStr">
        <is>
          <t>A bay lift service interval was missed, which delayed the job by a day.</t>
        </is>
      </c>
      <c r="V17" s="7" t="inlineStr">
        <is>
          <t>Briefing added to the technician handover sheet for repeat-fault vehicles.</t>
        </is>
      </c>
      <c r="W17" s="10" t="n">
        <v>46150</v>
      </c>
      <c r="X17" s="3" t="n"/>
      <c r="Y17" s="3" t="n"/>
      <c r="Z17" s="3" t="n"/>
      <c r="AA17" s="5" t="inlineStr">
        <is>
          <t>manager</t>
        </is>
      </c>
      <c r="AB17" s="2" t="inlineStr">
        <is>
          <t>Workshop Manager</t>
        </is>
      </c>
    </row>
    <row r="18">
      <c r="A18" s="2" t="inlineStr">
        <is>
          <t>CMP-20260407-2068</t>
        </is>
      </c>
      <c r="B18" s="3" t="n">
        <v>46119.69806712963</v>
      </c>
      <c r="C18" s="11" t="inlineStr">
        <is>
          <t>S2</t>
        </is>
      </c>
      <c r="D18" s="5" t="inlineStr"/>
      <c r="E18" s="5" t="inlineStr">
        <is>
          <t>closed</t>
        </is>
      </c>
      <c r="F18" s="5" t="inlineStr">
        <is>
          <t>in_person</t>
        </is>
      </c>
      <c r="G18" s="2" t="inlineStr">
        <is>
          <t>NAILA OBAID MOHAMMAD ABAID AL SUWAIDI</t>
        </is>
      </c>
      <c r="H18" s="2" t="n"/>
      <c r="I18" s="6" t="n">
        <v>0</v>
      </c>
      <c r="J18" s="7" t="inlineStr">
        <is>
          <t>Paint touch-up doesn't match the original colour on the panel.</t>
        </is>
      </c>
      <c r="K18" s="3" t="n">
        <v>46120.19806712963</v>
      </c>
      <c r="L18" s="3" t="n">
        <v>46125.69806712963</v>
      </c>
      <c r="M18" s="3" t="n">
        <v>46123.62366898148</v>
      </c>
      <c r="N18" s="8">
        <f>IF(K18="","",ROUND((K18-B18)*24,1))</f>
        <v/>
      </c>
      <c r="O18" s="8">
        <f>IF(M18="","",ROUND(M18-B18,1))</f>
        <v/>
      </c>
      <c r="P18" s="9">
        <f>IF(M18="","",IF(M18&lt;=L18,"yes","no"))</f>
        <v/>
      </c>
      <c r="Q18" s="5" t="inlineStr">
        <is>
          <t>partial_refund</t>
        </is>
      </c>
      <c r="R18" s="3" t="n">
        <v>46124.04033564815</v>
      </c>
      <c r="S18" s="7" t="inlineStr">
        <is>
          <t>Partial refund agreed — the diagnostic fee should have been waived per policy, the labour charge itself was correct.</t>
        </is>
      </c>
      <c r="T18" s="5" t="n"/>
      <c r="U18" s="7" t="n"/>
      <c r="V18" s="7" t="n"/>
      <c r="W18" s="10" t="n"/>
      <c r="X18" s="3" t="n"/>
      <c r="Y18" s="3" t="n">
        <v>46124.70700231481</v>
      </c>
      <c r="Z18" s="3" t="n"/>
      <c r="AA18" s="5" t="inlineStr">
        <is>
          <t>manager</t>
        </is>
      </c>
      <c r="AB18" s="2" t="inlineStr">
        <is>
          <t>Priya Menon</t>
        </is>
      </c>
    </row>
    <row r="19">
      <c r="A19" s="2" t="inlineStr">
        <is>
          <t>CMP-20260411-5373</t>
        </is>
      </c>
      <c r="B19" s="3" t="n">
        <v>46123.46886574074</v>
      </c>
      <c r="C19" s="11" t="inlineStr">
        <is>
          <t>S2</t>
        </is>
      </c>
      <c r="D19" s="5" t="inlineStr"/>
      <c r="E19" s="5" t="inlineStr">
        <is>
          <t>resolved</t>
        </is>
      </c>
      <c r="F19" s="5" t="inlineStr">
        <is>
          <t>whatsapp</t>
        </is>
      </c>
      <c r="G19" s="2" t="inlineStr">
        <is>
          <t>HAJRA BASHEER</t>
        </is>
      </c>
      <c r="H19" s="2" t="n"/>
      <c r="I19" s="6" t="n">
        <v>781</v>
      </c>
      <c r="J19" s="7" t="inlineStr">
        <is>
          <t>Was quoted one price over the phone and charged a higher one at pickup.</t>
        </is>
      </c>
      <c r="K19" s="3" t="n">
        <v>46124.13553240741</v>
      </c>
      <c r="L19" s="3" t="n">
        <v>46128.46886574074</v>
      </c>
      <c r="M19" s="3" t="n">
        <v>46131.17719907407</v>
      </c>
      <c r="N19" s="8">
        <f>IF(K19="","",ROUND((K19-B19)*24,1))</f>
        <v/>
      </c>
      <c r="O19" s="8">
        <f>IF(M19="","",ROUND(M19-B19,1))</f>
        <v/>
      </c>
      <c r="P19" s="9">
        <f>IF(M19="","",IF(M19&lt;=L19,"yes","no"))</f>
        <v/>
      </c>
      <c r="Q19" s="5" t="inlineStr">
        <is>
          <t>refund_due</t>
        </is>
      </c>
      <c r="R19" s="3" t="n"/>
      <c r="S19" s="7" t="inlineStr">
        <is>
          <t>Reviewed the job card against the original estimate — the extra charge was not pre-approved, so a refund was issued for the difference.</t>
        </is>
      </c>
      <c r="T19" s="5" t="n"/>
      <c r="U19" s="7" t="n"/>
      <c r="V19" s="7" t="n"/>
      <c r="W19" s="10" t="n"/>
      <c r="X19" s="3" t="n"/>
      <c r="Y19" s="3" t="n"/>
      <c r="Z19" s="3" t="n"/>
      <c r="AA19" s="5" t="inlineStr">
        <is>
          <t>manager</t>
        </is>
      </c>
      <c r="AB19" s="2" t="inlineStr">
        <is>
          <t>Nadia Khoury</t>
        </is>
      </c>
    </row>
    <row r="20">
      <c r="A20" s="2" t="inlineStr">
        <is>
          <t>CMP-20260507-6754</t>
        </is>
      </c>
      <c r="B20" s="3" t="n">
        <v>46149.36484953704</v>
      </c>
      <c r="C20" s="12" t="inlineStr">
        <is>
          <t>S3</t>
        </is>
      </c>
      <c r="D20" s="5" t="inlineStr"/>
      <c r="E20" s="5" t="inlineStr">
        <is>
          <t>resolved</t>
        </is>
      </c>
      <c r="F20" s="5" t="inlineStr">
        <is>
          <t>phone</t>
        </is>
      </c>
      <c r="G20" s="2" t="inlineStr">
        <is>
          <t>RIYAS VELLAMCHOLA AVARAN AVARAN</t>
        </is>
      </c>
      <c r="H20" s="2" t="n"/>
      <c r="I20" s="6" t="n">
        <v>0</v>
      </c>
      <c r="J20" s="7" t="inlineStr">
        <is>
          <t>Left a voicemail for a status update four days ago, still no callback.</t>
        </is>
      </c>
      <c r="K20" s="3" t="n">
        <v>46149.6565162037</v>
      </c>
      <c r="L20" s="3" t="n">
        <v>46153.36484953704</v>
      </c>
      <c r="M20" s="3" t="n">
        <v>46153.28819444445</v>
      </c>
      <c r="N20" s="8">
        <f>IF(K20="","",ROUND((K20-B20)*24,1))</f>
        <v/>
      </c>
      <c r="O20" s="8">
        <f>IF(M20="","",ROUND(M20-B20,1))</f>
        <v/>
      </c>
      <c r="P20" s="9">
        <f>IF(M20="","",IF(M20&lt;=L20,"yes","no"))</f>
        <v/>
      </c>
      <c r="Q20" s="5" t="inlineStr">
        <is>
          <t>charge_correct</t>
        </is>
      </c>
      <c r="R20" s="3" t="n">
        <v>46153.37152777778</v>
      </c>
      <c r="S20" s="7" t="inlineStr">
        <is>
          <t>Estimate covered parts only per the original quote; the labour line was itemised separately from the start. No adjustment due.</t>
        </is>
      </c>
      <c r="T20" s="5" t="n"/>
      <c r="U20" s="7" t="n"/>
      <c r="V20" s="7" t="n"/>
      <c r="W20" s="10" t="n"/>
      <c r="X20" s="3" t="n"/>
      <c r="Y20" s="3" t="n">
        <v>46155.32986111111</v>
      </c>
      <c r="Z20" s="3" t="n"/>
      <c r="AA20" s="5" t="inlineStr">
        <is>
          <t>advisor</t>
        </is>
      </c>
      <c r="AB20" s="2" t="inlineStr">
        <is>
          <t>Nadia Khoury</t>
        </is>
      </c>
    </row>
    <row r="21">
      <c r="A21" s="2" t="inlineStr">
        <is>
          <t>CMP-20260509-6846</t>
        </is>
      </c>
      <c r="B21" s="3" t="n">
        <v>46151.46888888889</v>
      </c>
      <c r="C21" s="11" t="inlineStr">
        <is>
          <t>S2</t>
        </is>
      </c>
      <c r="D21" s="5" t="inlineStr"/>
      <c r="E21" s="5" t="inlineStr">
        <is>
          <t>closed</t>
        </is>
      </c>
      <c r="F21" s="5" t="inlineStr">
        <is>
          <t>portal</t>
        </is>
      </c>
      <c r="G21" s="2" t="inlineStr">
        <is>
          <t>DHANRAJ SALIAN SHEKAR</t>
        </is>
      </c>
      <c r="H21" s="2" t="n"/>
      <c r="I21" s="6" t="n">
        <v>90</v>
      </c>
      <c r="J21" s="7" t="inlineStr">
        <is>
          <t>Invoice included a diagnostic fee I was told would be waived since I went ahead with the repair.</t>
        </is>
      </c>
      <c r="K21" s="3" t="n">
        <v>46152.01055555556</v>
      </c>
      <c r="L21" s="3" t="n">
        <v>46156.46888888889</v>
      </c>
      <c r="M21" s="3" t="n">
        <v>46155.18145833333</v>
      </c>
      <c r="N21" s="8">
        <f>IF(K21="","",ROUND((K21-B21)*24,1))</f>
        <v/>
      </c>
      <c r="O21" s="8">
        <f>IF(M21="","",ROUND(M21-B21,1))</f>
        <v/>
      </c>
      <c r="P21" s="9">
        <f>IF(M21="","",IF(M21&lt;=L21,"yes","no"))</f>
        <v/>
      </c>
      <c r="Q21" s="5" t="inlineStr">
        <is>
          <t>goodwill</t>
        </is>
      </c>
      <c r="R21" s="3" t="n">
        <v>46155.80645833333</v>
      </c>
      <c r="S21" s="7" t="inlineStr">
        <is>
          <t>Free re-check booked at no charge and a discount applied to the next visit as a gesture of goodwill.</t>
        </is>
      </c>
      <c r="T21" s="5" t="inlineStr">
        <is>
          <t>method</t>
        </is>
      </c>
      <c r="U21" s="7" t="inlineStr">
        <is>
          <t>Job-card sign-off procedure did not require a supervisor check before closing out the line.</t>
        </is>
      </c>
      <c r="V21" s="7" t="inlineStr">
        <is>
          <t>Added a parts-match check against the job card before issue from stores.</t>
        </is>
      </c>
      <c r="W21" s="10" t="n">
        <v>46172</v>
      </c>
      <c r="X21" s="3" t="n"/>
      <c r="Y21" s="3" t="n">
        <v>46156.973125</v>
      </c>
      <c r="Z21" s="3" t="n"/>
      <c r="AA21" s="5" t="inlineStr">
        <is>
          <t>manager</t>
        </is>
      </c>
      <c r="AB21" s="2" t="inlineStr">
        <is>
          <t>Priya Menon</t>
        </is>
      </c>
    </row>
    <row r="22">
      <c r="A22" s="2" t="inlineStr">
        <is>
          <t>CMP-20260509-1147</t>
        </is>
      </c>
      <c r="B22" s="3" t="n">
        <v>46151.78155092592</v>
      </c>
      <c r="C22" s="11" t="inlineStr">
        <is>
          <t>S2</t>
        </is>
      </c>
      <c r="D22" s="5" t="inlineStr"/>
      <c r="E22" s="5" t="inlineStr">
        <is>
          <t>closed</t>
        </is>
      </c>
      <c r="F22" s="5" t="inlineStr">
        <is>
          <t>phone</t>
        </is>
      </c>
      <c r="G22" s="2" t="inlineStr">
        <is>
          <t>MUHAMMAD ASIM JAVED</t>
        </is>
      </c>
      <c r="H22" s="2" t="n"/>
      <c r="I22" s="6" t="n">
        <v>953</v>
      </c>
      <c r="J22" s="7" t="inlineStr">
        <is>
          <t>Was quoted one price over the phone and charged a higher one at pickup.</t>
        </is>
      </c>
      <c r="K22" s="3" t="n">
        <v>46152.5732175926</v>
      </c>
      <c r="L22" s="3" t="n">
        <v>46156.78155092592</v>
      </c>
      <c r="M22" s="3" t="n">
        <v>46155.51694444445</v>
      </c>
      <c r="N22" s="8">
        <f>IF(K22="","",ROUND((K22-B22)*24,1))</f>
        <v/>
      </c>
      <c r="O22" s="8">
        <f>IF(M22="","",ROUND(M22-B22,1))</f>
        <v/>
      </c>
      <c r="P22" s="9">
        <f>IF(M22="","",IF(M22&lt;=L22,"yes","no"))</f>
        <v/>
      </c>
      <c r="Q22" s="5" t="inlineStr">
        <is>
          <t>partial_refund</t>
        </is>
      </c>
      <c r="R22" s="3" t="n">
        <v>46156.05861111111</v>
      </c>
      <c r="S22" s="7" t="inlineStr">
        <is>
          <t>Split the difference: goodwill refund for the delay, full charge retained for the work performed.</t>
        </is>
      </c>
      <c r="T22" s="5" t="n"/>
      <c r="U22" s="7" t="n"/>
      <c r="V22" s="7" t="n"/>
      <c r="W22" s="10" t="n"/>
      <c r="X22" s="3" t="n"/>
      <c r="Y22" s="3" t="n">
        <v>46157.68361111111</v>
      </c>
      <c r="Z22" s="3" t="n"/>
      <c r="AA22" s="5" t="inlineStr">
        <is>
          <t>manager</t>
        </is>
      </c>
      <c r="AB22" s="2" t="inlineStr">
        <is>
          <t>Workshop Manager</t>
        </is>
      </c>
    </row>
    <row r="23">
      <c r="A23" s="2" t="inlineStr">
        <is>
          <t>CMP-20260515-1939</t>
        </is>
      </c>
      <c r="B23" s="3" t="n">
        <v>46157.70900462963</v>
      </c>
      <c r="C23" s="12" t="inlineStr">
        <is>
          <t>S3</t>
        </is>
      </c>
      <c r="D23" s="5" t="inlineStr"/>
      <c r="E23" s="5" t="inlineStr">
        <is>
          <t>resolved</t>
        </is>
      </c>
      <c r="F23" s="5" t="inlineStr">
        <is>
          <t>in_person</t>
        </is>
      </c>
      <c r="G23" s="2" t="inlineStr">
        <is>
          <t>MR-MUDASSAR HUDAIN LAL KHAN</t>
        </is>
      </c>
      <c r="H23" s="2" t="n"/>
      <c r="I23" s="6" t="n">
        <v>0</v>
      </c>
      <c r="J23" s="7" t="inlineStr">
        <is>
          <t>Left a voicemail for a status update four days ago, still no callback.</t>
        </is>
      </c>
      <c r="K23" s="3" t="n">
        <v>46158.41733796296</v>
      </c>
      <c r="L23" s="3" t="n">
        <v>46160.70900462963</v>
      </c>
      <c r="M23" s="3" t="n">
        <v>46159.64481481481</v>
      </c>
      <c r="N23" s="8">
        <f>IF(K23="","",ROUND((K23-B23)*24,1))</f>
        <v/>
      </c>
      <c r="O23" s="8">
        <f>IF(M23="","",ROUND(M23-B23,1))</f>
        <v/>
      </c>
      <c r="P23" s="9">
        <f>IF(M23="","",IF(M23&lt;=L23,"yes","no"))</f>
        <v/>
      </c>
      <c r="Q23" s="5" t="inlineStr">
        <is>
          <t>charge_correct</t>
        </is>
      </c>
      <c r="R23" s="3" t="n">
        <v>46160.01981481481</v>
      </c>
      <c r="S23" s="7" t="inlineStr">
        <is>
          <t>Estimate covered parts only per the original quote; the labour line was itemised separately from the start. No adjustment due.</t>
        </is>
      </c>
      <c r="T23" s="5" t="n"/>
      <c r="U23" s="7" t="n"/>
      <c r="V23" s="7" t="n"/>
      <c r="W23" s="10" t="n"/>
      <c r="X23" s="3" t="n"/>
      <c r="Y23" s="3" t="n">
        <v>46160.76981481481</v>
      </c>
      <c r="Z23" s="3" t="n"/>
      <c r="AA23" s="5" t="inlineStr">
        <is>
          <t>advisor</t>
        </is>
      </c>
      <c r="AB23" s="2" t="inlineStr">
        <is>
          <t>Tarek El Sayed</t>
        </is>
      </c>
    </row>
    <row r="24">
      <c r="A24" s="2" t="inlineStr">
        <is>
          <t>CMP-20260519-1775</t>
        </is>
      </c>
      <c r="B24" s="3" t="n">
        <v>46161.36481481481</v>
      </c>
      <c r="C24" s="4" t="inlineStr">
        <is>
          <t>S1</t>
        </is>
      </c>
      <c r="D24" s="5" t="inlineStr">
        <is>
          <t>yes</t>
        </is>
      </c>
      <c r="E24" s="5" t="inlineStr">
        <is>
          <t>resolved</t>
        </is>
      </c>
      <c r="F24" s="5" t="inlineStr">
        <is>
          <t>in_person</t>
        </is>
      </c>
      <c r="G24" s="2" t="inlineStr">
        <is>
          <t>ARCHANA SURESH BABU</t>
        </is>
      </c>
      <c r="H24" s="2" t="n"/>
      <c r="I24" s="6" t="n">
        <v>0</v>
      </c>
      <c r="J24" s="7" t="inlineStr">
        <is>
          <t>The wrong part was fitted — had to bring the car back a second time for the same job.</t>
        </is>
      </c>
      <c r="K24" s="3" t="n">
        <v>46162.19814814815</v>
      </c>
      <c r="L24" s="3" t="n">
        <v>46163.36481481481</v>
      </c>
      <c r="M24" s="3" t="n">
        <v>46162.77234953704</v>
      </c>
      <c r="N24" s="8">
        <f>IF(K24="","",ROUND((K24-B24)*24,1))</f>
        <v/>
      </c>
      <c r="O24" s="8">
        <f>IF(M24="","",ROUND(M24-B24,1))</f>
        <v/>
      </c>
      <c r="P24" s="9">
        <f>IF(M24="","",IF(M24&lt;=L24,"yes","no"))</f>
        <v/>
      </c>
      <c r="Q24" s="5" t="inlineStr">
        <is>
          <t>charge_correct</t>
        </is>
      </c>
      <c r="R24" s="3" t="n"/>
      <c r="S24" s="7" t="inlineStr">
        <is>
          <t>Walked the customer through the job card and photos taken during the work — the additional labour matched what was actually required. Charge stands, explained clearly.</t>
        </is>
      </c>
      <c r="T24" s="5" t="inlineStr">
        <is>
          <t>material</t>
        </is>
      </c>
      <c r="U24" s="7" t="inlineStr">
        <is>
          <t>The part received from the supplier did not match the OEM spec logged on the job card.</t>
        </is>
      </c>
      <c r="V24" s="7" t="inlineStr">
        <is>
          <t>Callback checklist step made mandatory regardless of workload, with a supervisor spot-check.</t>
        </is>
      </c>
      <c r="W24" s="10" t="n">
        <v>46191</v>
      </c>
      <c r="X24" s="3" t="n"/>
      <c r="Y24" s="3" t="n"/>
      <c r="Z24" s="3" t="n"/>
      <c r="AA24" s="5" t="inlineStr">
        <is>
          <t>manager</t>
        </is>
      </c>
      <c r="AB24" s="2" t="inlineStr">
        <is>
          <t>Priya Menon</t>
        </is>
      </c>
    </row>
    <row r="25">
      <c r="A25" s="2" t="inlineStr">
        <is>
          <t>CMP-20260524-2877</t>
        </is>
      </c>
      <c r="B25" s="3" t="n">
        <v>46166.60472222222</v>
      </c>
      <c r="C25" s="12" t="inlineStr">
        <is>
          <t>S3</t>
        </is>
      </c>
      <c r="D25" s="5" t="inlineStr"/>
      <c r="E25" s="5" t="inlineStr">
        <is>
          <t>resolved</t>
        </is>
      </c>
      <c r="F25" s="5" t="inlineStr">
        <is>
          <t>in_person</t>
        </is>
      </c>
      <c r="G25" s="2" t="inlineStr">
        <is>
          <t>Bassam Daher</t>
        </is>
      </c>
      <c r="H25" s="2" t="n"/>
      <c r="I25" s="6" t="n">
        <v>0</v>
      </c>
      <c r="J25" s="7" t="inlineStr">
        <is>
          <t>Called three times about the delay and no one returned the call.</t>
        </is>
      </c>
      <c r="K25" s="3" t="n">
        <v>46168.06305555555</v>
      </c>
      <c r="L25" s="3" t="n">
        <v>46169.60472222222</v>
      </c>
      <c r="M25" s="3" t="n">
        <v>46169.06428240741</v>
      </c>
      <c r="N25" s="8">
        <f>IF(K25="","",ROUND((K25-B25)*24,1))</f>
        <v/>
      </c>
      <c r="O25" s="8">
        <f>IF(M25="","",ROUND(M25-B25,1))</f>
        <v/>
      </c>
      <c r="P25" s="9">
        <f>IF(M25="","",IF(M25&lt;=L25,"yes","no"))</f>
        <v/>
      </c>
      <c r="Q25" s="5" t="inlineStr">
        <is>
          <t>charge_correct</t>
        </is>
      </c>
      <c r="R25" s="3" t="n">
        <v>46169.06428240741</v>
      </c>
      <c r="S25" s="7" t="inlineStr">
        <is>
          <t>Walked the customer through the job card and photos taken during the work — the additional labour matched what was actually required. Charge stands, explained clearly.</t>
        </is>
      </c>
      <c r="T25" s="5" t="inlineStr">
        <is>
          <t>manpower</t>
        </is>
      </c>
      <c r="U25" s="7" t="inlineStr">
        <is>
          <t>The technician assigned had not been briefed on this vehicle's known fault history.</t>
        </is>
      </c>
      <c r="V25" s="7" t="inlineStr">
        <is>
          <t>Scheduled equipment recalibration and added it to the maintenance calendar.</t>
        </is>
      </c>
      <c r="W25" s="10" t="n">
        <v>46177</v>
      </c>
      <c r="X25" s="3" t="n"/>
      <c r="Y25" s="3" t="n"/>
      <c r="Z25" s="3" t="n"/>
      <c r="AA25" s="5" t="inlineStr">
        <is>
          <t>advisor</t>
        </is>
      </c>
      <c r="AB25" s="2" t="inlineStr">
        <is>
          <t>Nadia Khoury</t>
        </is>
      </c>
    </row>
    <row r="26">
      <c r="A26" s="2" t="inlineStr">
        <is>
          <t>CMP-20260601-8670</t>
        </is>
      </c>
      <c r="B26" s="3" t="n">
        <v>46174.45837962963</v>
      </c>
      <c r="C26" s="12" t="inlineStr">
        <is>
          <t>S3</t>
        </is>
      </c>
      <c r="D26" s="5" t="inlineStr"/>
      <c r="E26" s="5" t="inlineStr">
        <is>
          <t>resolved</t>
        </is>
      </c>
      <c r="F26" s="5" t="inlineStr">
        <is>
          <t>phone</t>
        </is>
      </c>
      <c r="G26" s="2" t="inlineStr">
        <is>
          <t>MR-MUNA MOHAMED SULTAN ALRIYAMI</t>
        </is>
      </c>
      <c r="H26" s="2" t="n"/>
      <c r="I26" s="6" t="n">
        <v>0</v>
      </c>
      <c r="J26" s="7" t="inlineStr">
        <is>
          <t>Left a voicemail for a status update four days ago, still no callback.</t>
        </is>
      </c>
      <c r="K26" s="3" t="n">
        <v>46175.04171296296</v>
      </c>
      <c r="L26" s="3" t="n">
        <v>46177.45837962963</v>
      </c>
      <c r="M26" s="3" t="n">
        <v>46177.1934375</v>
      </c>
      <c r="N26" s="8">
        <f>IF(K26="","",ROUND((K26-B26)*24,1))</f>
        <v/>
      </c>
      <c r="O26" s="8">
        <f>IF(M26="","",ROUND(M26-B26,1))</f>
        <v/>
      </c>
      <c r="P26" s="9">
        <f>IF(M26="","",IF(M26&lt;=L26,"yes","no"))</f>
        <v/>
      </c>
      <c r="Q26" s="5" t="inlineStr">
        <is>
          <t>charge_correct</t>
        </is>
      </c>
      <c r="R26" s="3" t="n">
        <v>46177.98510416667</v>
      </c>
      <c r="S26" s="7" t="inlineStr">
        <is>
          <t>Estimate covered parts only per the original quote; the labour line was itemised separately from the start. No adjustment due.</t>
        </is>
      </c>
      <c r="T26" s="5" t="inlineStr">
        <is>
          <t>material</t>
        </is>
      </c>
      <c r="U26" s="7" t="inlineStr">
        <is>
          <t>The wrong part was picked from stores against a similar part number.</t>
        </is>
      </c>
      <c r="V26" s="7" t="inlineStr">
        <is>
          <t>Briefing added to the technician handover sheet for repeat-fault vehicles.</t>
        </is>
      </c>
      <c r="W26" s="10" t="n">
        <v>46182</v>
      </c>
      <c r="X26" s="3" t="n"/>
      <c r="Y26" s="3" t="n">
        <v>46178.8184375</v>
      </c>
      <c r="Z26" s="3" t="n"/>
      <c r="AA26" s="5" t="inlineStr">
        <is>
          <t>advisor</t>
        </is>
      </c>
      <c r="AB26" s="2" t="inlineStr">
        <is>
          <t>Tarek El Sayed</t>
        </is>
      </c>
    </row>
    <row r="27">
      <c r="A27" s="2" t="inlineStr">
        <is>
          <t>CMP-20260603-7669</t>
        </is>
      </c>
      <c r="B27" s="3" t="n">
        <v>46176.65677083333</v>
      </c>
      <c r="C27" s="11" t="inlineStr">
        <is>
          <t>S2</t>
        </is>
      </c>
      <c r="D27" s="5" t="inlineStr"/>
      <c r="E27" s="5" t="inlineStr">
        <is>
          <t>resolved</t>
        </is>
      </c>
      <c r="F27" s="5" t="inlineStr">
        <is>
          <t>phone</t>
        </is>
      </c>
      <c r="G27" s="2" t="inlineStr">
        <is>
          <t>DHAFER MOHAMMED KANAN MOHAM</t>
        </is>
      </c>
      <c r="H27" s="2" t="n"/>
      <c r="I27" s="6" t="n">
        <v>0</v>
      </c>
      <c r="J27" s="7" t="inlineStr">
        <is>
          <t>AC still isn't cooling properly after paying for the recharge service.</t>
        </is>
      </c>
      <c r="K27" s="3" t="n">
        <v>46177.1984375</v>
      </c>
      <c r="L27" s="3" t="n">
        <v>46182.65677083333</v>
      </c>
      <c r="M27" s="3" t="n">
        <v>46180.17826388889</v>
      </c>
      <c r="N27" s="8">
        <f>IF(K27="","",ROUND((K27-B27)*24,1))</f>
        <v/>
      </c>
      <c r="O27" s="8">
        <f>IF(M27="","",ROUND(M27-B27,1))</f>
        <v/>
      </c>
      <c r="P27" s="9">
        <f>IF(M27="","",IF(M27&lt;=L27,"yes","no"))</f>
        <v/>
      </c>
      <c r="Q27" s="5" t="inlineStr">
        <is>
          <t>goodwill</t>
        </is>
      </c>
      <c r="R27" s="3" t="n">
        <v>46180.55326388889</v>
      </c>
      <c r="S27" s="7" t="inlineStr">
        <is>
          <t>No billing error found, but offered a complimentary detail as a goodwill gesture for the inconvenience.</t>
        </is>
      </c>
      <c r="T27" s="5" t="n"/>
      <c r="U27" s="7" t="n"/>
      <c r="V27" s="7" t="n"/>
      <c r="W27" s="10" t="n"/>
      <c r="X27" s="3" t="n"/>
      <c r="Y27" s="3" t="n">
        <v>46181.21993055556</v>
      </c>
      <c r="Z27" s="3" t="n"/>
      <c r="AA27" s="5" t="inlineStr">
        <is>
          <t>manager</t>
        </is>
      </c>
      <c r="AB27" s="2" t="inlineStr">
        <is>
          <t>Tarek El Sayed</t>
        </is>
      </c>
    </row>
    <row r="28">
      <c r="A28" s="2" t="inlineStr">
        <is>
          <t>CMP-20260611-4767</t>
        </is>
      </c>
      <c r="B28" s="3" t="n">
        <v>46184.41693287037</v>
      </c>
      <c r="C28" s="11" t="inlineStr">
        <is>
          <t>S2</t>
        </is>
      </c>
      <c r="D28" s="5" t="inlineStr"/>
      <c r="E28" s="5" t="inlineStr">
        <is>
          <t>resolved</t>
        </is>
      </c>
      <c r="F28" s="5" t="inlineStr">
        <is>
          <t>phone</t>
        </is>
      </c>
      <c r="G28" s="2" t="inlineStr">
        <is>
          <t>ASHRAF MULAKUMTHOTTATHIL HUSS</t>
        </is>
      </c>
      <c r="H28" s="2" t="n"/>
      <c r="I28" s="6" t="n">
        <v>450</v>
      </c>
      <c r="J28" s="7" t="inlineStr">
        <is>
          <t>Charged for more labour hours than the original estimate without being told beforehand.</t>
        </is>
      </c>
      <c r="K28" s="3" t="n">
        <v>46186.70859953704</v>
      </c>
      <c r="L28" s="3" t="n">
        <v>46190.41693287037</v>
      </c>
      <c r="M28" s="3" t="n">
        <v>46194.41693287037</v>
      </c>
      <c r="N28" s="8">
        <f>IF(K28="","",ROUND((K28-B28)*24,1))</f>
        <v/>
      </c>
      <c r="O28" s="8">
        <f>IF(M28="","",ROUND(M28-B28,1))</f>
        <v/>
      </c>
      <c r="P28" s="9">
        <f>IF(M28="","",IF(M28&lt;=L28,"yes","no"))</f>
        <v/>
      </c>
      <c r="Q28" s="5" t="inlineStr">
        <is>
          <t>charge_correct</t>
        </is>
      </c>
      <c r="R28" s="3" t="n">
        <v>46194.95859953704</v>
      </c>
      <c r="S28" s="7" t="inlineStr">
        <is>
          <t>Walked the customer through the job card and photos taken during the work — the additional labour matched what was actually required. Charge stands, explained clearly.</t>
        </is>
      </c>
      <c r="T28" s="5" t="n"/>
      <c r="U28" s="7" t="n"/>
      <c r="V28" s="7" t="n"/>
      <c r="W28" s="10" t="n"/>
      <c r="X28" s="3" t="n"/>
      <c r="Y28" s="3" t="n"/>
      <c r="Z28" s="3" t="n"/>
      <c r="AA28" s="5" t="inlineStr">
        <is>
          <t>manager</t>
        </is>
      </c>
      <c r="AB28" s="2" t="inlineStr">
        <is>
          <t>Nadia Khoury</t>
        </is>
      </c>
    </row>
    <row r="29">
      <c r="A29" s="2" t="inlineStr">
        <is>
          <t>CMP-20260612-5315</t>
        </is>
      </c>
      <c r="B29" s="3" t="n">
        <v>46185.6047800926</v>
      </c>
      <c r="C29" s="4" t="inlineStr">
        <is>
          <t>S1</t>
        </is>
      </c>
      <c r="D29" s="5" t="inlineStr"/>
      <c r="E29" s="5" t="inlineStr">
        <is>
          <t>resolved</t>
        </is>
      </c>
      <c r="F29" s="5" t="inlineStr">
        <is>
          <t>in_person</t>
        </is>
      </c>
      <c r="G29" s="2" t="inlineStr">
        <is>
          <t>Neha Rao</t>
        </is>
      </c>
      <c r="H29" s="2" t="n"/>
      <c r="I29" s="6" t="n">
        <v>0</v>
      </c>
      <c r="J29" s="7" t="inlineStr">
        <is>
          <t>New brake pads are squealing already, worse than before the service.</t>
        </is>
      </c>
      <c r="K29" s="3" t="n">
        <v>46186.43811342592</v>
      </c>
      <c r="L29" s="3" t="n">
        <v>46187.6047800926</v>
      </c>
      <c r="M29" s="3" t="n">
        <v>46188.4797800926</v>
      </c>
      <c r="N29" s="8">
        <f>IF(K29="","",ROUND((K29-B29)*24,1))</f>
        <v/>
      </c>
      <c r="O29" s="8">
        <f>IF(M29="","",ROUND(M29-B29,1))</f>
        <v/>
      </c>
      <c r="P29" s="9">
        <f>IF(M29="","",IF(M29&lt;=L29,"yes","no"))</f>
        <v/>
      </c>
      <c r="Q29" s="5" t="inlineStr">
        <is>
          <t>charge_correct</t>
        </is>
      </c>
      <c r="R29" s="3" t="n">
        <v>46189.2297800926</v>
      </c>
      <c r="S29" s="7" t="inlineStr">
        <is>
          <t>Estimate covered parts only per the original quote; the labour line was itemised separately from the start. No adjustment due.</t>
        </is>
      </c>
      <c r="T29" s="5" t="inlineStr">
        <is>
          <t>machine</t>
        </is>
      </c>
      <c r="U29" s="7" t="inlineStr">
        <is>
          <t>A bay lift service interval was missed, which delayed the job by a day.</t>
        </is>
      </c>
      <c r="V29" s="7" t="inlineStr">
        <is>
          <t>QC road test now logged as a required field before a job can be marked ready for pickup.</t>
        </is>
      </c>
      <c r="W29" s="10" t="n">
        <v>46203</v>
      </c>
      <c r="X29" s="3" t="n"/>
      <c r="Y29" s="3" t="n">
        <v>46189.8547800926</v>
      </c>
      <c r="Z29" s="3" t="n"/>
      <c r="AA29" s="5" t="inlineStr">
        <is>
          <t>manager</t>
        </is>
      </c>
      <c r="AB29" s="2" t="inlineStr">
        <is>
          <t>Nadia Khoury</t>
        </is>
      </c>
    </row>
    <row r="30">
      <c r="A30" s="2" t="inlineStr">
        <is>
          <t>CMP-20260618-3441</t>
        </is>
      </c>
      <c r="B30" s="3" t="n">
        <v>46191.6568287037</v>
      </c>
      <c r="C30" s="4" t="inlineStr">
        <is>
          <t>S1</t>
        </is>
      </c>
      <c r="D30" s="5" t="inlineStr"/>
      <c r="E30" s="5" t="inlineStr">
        <is>
          <t>resolved</t>
        </is>
      </c>
      <c r="F30" s="5" t="inlineStr">
        <is>
          <t>whatsapp</t>
        </is>
      </c>
      <c r="G30" s="2" t="inlineStr">
        <is>
          <t>AHMAD HUSNI MOHD ABED KHATER</t>
        </is>
      </c>
      <c r="H30" s="2" t="n"/>
      <c r="I30" s="6" t="n">
        <v>0</v>
      </c>
      <c r="J30" s="7" t="inlineStr">
        <is>
          <t>The same noise came back within a week of the repair it was supposedly fixed for.</t>
        </is>
      </c>
      <c r="K30" s="3" t="n">
        <v>46192.44849537037</v>
      </c>
      <c r="L30" s="3" t="n">
        <v>46194.6568287037</v>
      </c>
      <c r="M30" s="3" t="n">
        <v>46193.86469907407</v>
      </c>
      <c r="N30" s="8">
        <f>IF(K30="","",ROUND((K30-B30)*24,1))</f>
        <v/>
      </c>
      <c r="O30" s="8">
        <f>IF(M30="","",ROUND(M30-B30,1))</f>
        <v/>
      </c>
      <c r="P30" s="9">
        <f>IF(M30="","",IF(M30&lt;=L30,"yes","no"))</f>
        <v/>
      </c>
      <c r="Q30" s="5" t="inlineStr">
        <is>
          <t>refund_due</t>
        </is>
      </c>
      <c r="R30" s="3" t="n">
        <v>46194.61469907407</v>
      </c>
      <c r="S30" s="7" t="inlineStr">
        <is>
          <t>Reviewed the job card against the original estimate — the extra charge was not pre-approved, so a refund was issued for the difference.</t>
        </is>
      </c>
      <c r="T30" s="5" t="inlineStr">
        <is>
          <t>manpower</t>
        </is>
      </c>
      <c r="U30" s="7" t="inlineStr">
        <is>
          <t>The advisor covering the desk that day had not been trained on the price-change approval step.</t>
        </is>
      </c>
      <c r="V30" s="7" t="inlineStr">
        <is>
          <t>Callback checklist step made mandatory regardless of workload, with a supervisor spot-check.</t>
        </is>
      </c>
      <c r="W30" s="10" t="n">
        <v>46198</v>
      </c>
      <c r="X30" s="3" t="n"/>
      <c r="Y30" s="3" t="n">
        <v>46195.86469907407</v>
      </c>
      <c r="Z30" s="3" t="n"/>
      <c r="AA30" s="5" t="inlineStr">
        <is>
          <t>manager</t>
        </is>
      </c>
      <c r="AB30" s="2" t="inlineStr">
        <is>
          <t>Priya Menon</t>
        </is>
      </c>
    </row>
    <row r="31">
      <c r="A31" s="2" t="inlineStr">
        <is>
          <t>CMP-20260619-2002</t>
        </is>
      </c>
      <c r="B31" s="3" t="n">
        <v>46192.75028935185</v>
      </c>
      <c r="C31" s="12" t="inlineStr">
        <is>
          <t>S3</t>
        </is>
      </c>
      <c r="D31" s="5" t="inlineStr"/>
      <c r="E31" s="5" t="inlineStr">
        <is>
          <t>resolved</t>
        </is>
      </c>
      <c r="F31" s="5" t="inlineStr">
        <is>
          <t>phone</t>
        </is>
      </c>
      <c r="G31" s="2" t="inlineStr">
        <is>
          <t>MR-PHINOJ GEORGE VALLAPPADY GEORGE</t>
        </is>
      </c>
      <c r="H31" s="2" t="n"/>
      <c r="I31" s="6" t="n">
        <v>0</v>
      </c>
      <c r="J31" s="7" t="inlineStr">
        <is>
          <t>Left a voicemail for a status update four days ago, still no callback.</t>
        </is>
      </c>
      <c r="K31" s="3" t="n">
        <v>46192.79195601852</v>
      </c>
      <c r="L31" s="3" t="n">
        <v>46195.75028935185</v>
      </c>
      <c r="M31" s="3" t="n">
        <v>46194.41248842593</v>
      </c>
      <c r="N31" s="8">
        <f>IF(K31="","",ROUND((K31-B31)*24,1))</f>
        <v/>
      </c>
      <c r="O31" s="8">
        <f>IF(M31="","",ROUND(M31-B31,1))</f>
        <v/>
      </c>
      <c r="P31" s="9">
        <f>IF(M31="","",IF(M31&lt;=L31,"yes","no"))</f>
        <v/>
      </c>
      <c r="Q31" s="5" t="inlineStr">
        <is>
          <t>refund_due</t>
        </is>
      </c>
      <c r="R31" s="3" t="n">
        <v>46194.74582175926</v>
      </c>
      <c r="S31" s="7" t="inlineStr">
        <is>
          <t>Confirmed the part billed was not the one fitted. Refunded the line item.</t>
        </is>
      </c>
      <c r="T31" s="5" t="inlineStr">
        <is>
          <t>material</t>
        </is>
      </c>
      <c r="U31" s="7" t="inlineStr">
        <is>
          <t>The part received from the supplier did not match the OEM spec logged on the job card.</t>
        </is>
      </c>
      <c r="V31" s="7" t="inlineStr">
        <is>
          <t>QC road test now logged as a required field before a job can be marked ready for pickup.</t>
        </is>
      </c>
      <c r="W31" s="10" t="n">
        <v>46212</v>
      </c>
      <c r="X31" s="3" t="n"/>
      <c r="Y31" s="3" t="n">
        <v>46195.53748842593</v>
      </c>
      <c r="Z31" s="3" t="n"/>
      <c r="AA31" s="5" t="inlineStr">
        <is>
          <t>advisor</t>
        </is>
      </c>
      <c r="AB31" s="2" t="inlineStr">
        <is>
          <t>Tarek El Sayed</t>
        </is>
      </c>
    </row>
    <row r="32">
      <c r="A32" s="2" t="inlineStr">
        <is>
          <t>CMP-20260630-2493</t>
        </is>
      </c>
      <c r="B32" s="3" t="n">
        <v>46203.72982638889</v>
      </c>
      <c r="C32" s="12" t="inlineStr">
        <is>
          <t>S3</t>
        </is>
      </c>
      <c r="D32" s="5" t="inlineStr"/>
      <c r="E32" s="5" t="inlineStr">
        <is>
          <t>closed</t>
        </is>
      </c>
      <c r="F32" s="5" t="inlineStr">
        <is>
          <t>in_person</t>
        </is>
      </c>
      <c r="G32" s="2" t="inlineStr">
        <is>
          <t>COLEMONT ABU DHABI INSURANCE BROKERS</t>
        </is>
      </c>
      <c r="H32" s="2" t="n"/>
      <c r="I32" s="6" t="n">
        <v>0</v>
      </c>
      <c r="J32" s="7" t="inlineStr">
        <is>
          <t>Called three times about the delay and no one returned the call.</t>
        </is>
      </c>
      <c r="K32" s="3" t="n">
        <v>46204.47982638889</v>
      </c>
      <c r="L32" s="3" t="n">
        <v>46207.72982638889</v>
      </c>
      <c r="M32" s="3" t="n">
        <v>46206.02440972222</v>
      </c>
      <c r="N32" s="8">
        <f>IF(K32="","",ROUND((K32-B32)*24,1))</f>
        <v/>
      </c>
      <c r="O32" s="8">
        <f>IF(M32="","",ROUND(M32-B32,1))</f>
        <v/>
      </c>
      <c r="P32" s="9">
        <f>IF(M32="","",IF(M32&lt;=L32,"yes","no"))</f>
        <v/>
      </c>
      <c r="Q32" s="5" t="inlineStr">
        <is>
          <t>charge_correct</t>
        </is>
      </c>
      <c r="R32" s="3" t="n">
        <v>46206.27440972222</v>
      </c>
      <c r="S32" s="7" t="inlineStr">
        <is>
          <t>Walked the customer through the job card and photos taken during the work — the additional labour matched what was actually required. Charge stands, explained clearly.</t>
        </is>
      </c>
      <c r="T32" s="5" t="n"/>
      <c r="U32" s="7" t="n"/>
      <c r="V32" s="7" t="n"/>
      <c r="W32" s="10" t="n"/>
      <c r="X32" s="3" t="n"/>
      <c r="Y32" s="3" t="n">
        <v>46207.94107638889</v>
      </c>
      <c r="Z32" s="3" t="n"/>
      <c r="AA32" s="5" t="inlineStr">
        <is>
          <t>advisor</t>
        </is>
      </c>
      <c r="AB32" s="2" t="inlineStr">
        <is>
          <t>Tarek El Sayed</t>
        </is>
      </c>
    </row>
    <row r="33">
      <c r="A33" s="2" t="inlineStr">
        <is>
          <t>CMP-20260705-9551</t>
        </is>
      </c>
      <c r="B33" s="3" t="n">
        <v>46208.68783564815</v>
      </c>
      <c r="C33" s="12" t="inlineStr">
        <is>
          <t>S3</t>
        </is>
      </c>
      <c r="D33" s="5" t="inlineStr"/>
      <c r="E33" s="5" t="inlineStr">
        <is>
          <t>resolved</t>
        </is>
      </c>
      <c r="F33" s="5" t="inlineStr">
        <is>
          <t>whatsapp</t>
        </is>
      </c>
      <c r="G33" s="2" t="inlineStr">
        <is>
          <t>MR-SHAH MOHAMMAD HASAN NAEEM</t>
        </is>
      </c>
      <c r="H33" s="2" t="n"/>
      <c r="I33" s="6" t="n">
        <v>0</v>
      </c>
      <c r="J33" s="7" t="inlineStr">
        <is>
          <t>Called three times about the delay and no one returned the call.</t>
        </is>
      </c>
      <c r="K33" s="3" t="n">
        <v>46209.02116898148</v>
      </c>
      <c r="L33" s="3" t="n">
        <v>46211.68783564815</v>
      </c>
      <c r="M33" s="3" t="n">
        <v>46210.52011574074</v>
      </c>
      <c r="N33" s="8">
        <f>IF(K33="","",ROUND((K33-B33)*24,1))</f>
        <v/>
      </c>
      <c r="O33" s="8">
        <f>IF(M33="","",ROUND(M33-B33,1))</f>
        <v/>
      </c>
      <c r="P33" s="9">
        <f>IF(M33="","",IF(M33&lt;=L33,"yes","no"))</f>
        <v/>
      </c>
      <c r="Q33" s="5" t="inlineStr">
        <is>
          <t>partial_refund</t>
        </is>
      </c>
      <c r="R33" s="3" t="n">
        <v>46211.10344907407</v>
      </c>
      <c r="S33" s="7" t="inlineStr">
        <is>
          <t>Partial refund agreed — the diagnostic fee should have been waived per policy, the labour charge itself was correct.</t>
        </is>
      </c>
      <c r="T33" s="5" t="inlineStr">
        <is>
          <t>method</t>
        </is>
      </c>
      <c r="U33" s="7" t="inlineStr">
        <is>
          <t>No standard step existed for confirming a cost change with the customer before extra work began.</t>
        </is>
      </c>
      <c r="V33" s="7" t="inlineStr">
        <is>
          <t>QC road test now logged as a required field before a job can be marked ready for pickup.</t>
        </is>
      </c>
      <c r="W33" s="10" t="n">
        <v>46212</v>
      </c>
      <c r="X33" s="3" t="n"/>
      <c r="Y33" s="3" t="n">
        <v>46212.68678240741</v>
      </c>
      <c r="Z33" s="3" t="n"/>
      <c r="AA33" s="5" t="inlineStr">
        <is>
          <t>advisor</t>
        </is>
      </c>
      <c r="AB33" s="2" t="inlineStr">
        <is>
          <t>Tarek El Sayed</t>
        </is>
      </c>
    </row>
    <row r="34">
      <c r="A34" s="2" t="inlineStr">
        <is>
          <t>CMP-20260716-5999</t>
        </is>
      </c>
      <c r="B34" s="3" t="n">
        <v>46219.70839120371</v>
      </c>
      <c r="C34" s="11" t="inlineStr">
        <is>
          <t>S2</t>
        </is>
      </c>
      <c r="D34" s="5" t="inlineStr"/>
      <c r="E34" s="5" t="inlineStr">
        <is>
          <t>resolved</t>
        </is>
      </c>
      <c r="F34" s="5" t="inlineStr">
        <is>
          <t>in_person</t>
        </is>
      </c>
      <c r="G34" s="2" t="inlineStr">
        <is>
          <t>NASEER SHARIFF AZEEM SHARIF</t>
        </is>
      </c>
      <c r="H34" s="2" t="n"/>
      <c r="I34" s="6" t="n">
        <v>137</v>
      </c>
      <c r="J34" s="7" t="inlineStr">
        <is>
          <t>Invoice included a diagnostic fee I was told would be waived since I went ahead with the repair.</t>
        </is>
      </c>
      <c r="K34" s="3" t="n">
        <v>46221.58339120371</v>
      </c>
      <c r="L34" s="3" t="n">
        <v>46225.70839120371</v>
      </c>
      <c r="M34" s="3" t="n">
        <v>46227.12505787037</v>
      </c>
      <c r="N34" s="8">
        <f>IF(K34="","",ROUND((K34-B34)*24,1))</f>
        <v/>
      </c>
      <c r="O34" s="8">
        <f>IF(M34="","",ROUND(M34-B34,1))</f>
        <v/>
      </c>
      <c r="P34" s="9">
        <f>IF(M34="","",IF(M34&lt;=L34,"yes","no"))</f>
        <v/>
      </c>
      <c r="Q34" s="5" t="inlineStr">
        <is>
          <t>goodwill</t>
        </is>
      </c>
      <c r="R34" s="3" t="n">
        <v>46227.41672453703</v>
      </c>
      <c r="S34" s="7" t="inlineStr">
        <is>
          <t>No billing error found, but offered a complimentary detail as a goodwill gesture for the inconvenience.</t>
        </is>
      </c>
      <c r="T34" s="5" t="inlineStr">
        <is>
          <t>method</t>
        </is>
      </c>
      <c r="U34" s="7" t="inlineStr">
        <is>
          <t>No standard step existed for confirming a cost change with the customer before extra work began.</t>
        </is>
      </c>
      <c r="V34" s="7" t="inlineStr">
        <is>
          <t>QC road test now logged as a required field before a job can be marked ready for pickup.</t>
        </is>
      </c>
      <c r="W34" s="10" t="n">
        <v>46256</v>
      </c>
      <c r="X34" s="3" t="n"/>
      <c r="Y34" s="3" t="n"/>
      <c r="Z34" s="3" t="n"/>
      <c r="AA34" s="5" t="inlineStr">
        <is>
          <t>manager</t>
        </is>
      </c>
      <c r="AB34" s="2" t="inlineStr">
        <is>
          <t>Nadia Khoury</t>
        </is>
      </c>
    </row>
    <row r="35">
      <c r="A35" s="2" t="inlineStr">
        <is>
          <t>CMP-20260727-3870</t>
        </is>
      </c>
      <c r="B35" s="3" t="n">
        <v>46230.69856481482</v>
      </c>
      <c r="C35" s="11" t="inlineStr">
        <is>
          <t>S2</t>
        </is>
      </c>
      <c r="D35" s="5" t="inlineStr"/>
      <c r="E35" s="5" t="inlineStr">
        <is>
          <t>closed</t>
        </is>
      </c>
      <c r="F35" s="5" t="inlineStr">
        <is>
          <t>phone</t>
        </is>
      </c>
      <c r="G35" s="2" t="inlineStr">
        <is>
          <t>MR-PRAVEEN PRASAD CHIRAKKAL CHIRAKK</t>
        </is>
      </c>
      <c r="H35" s="2" t="n"/>
      <c r="I35" s="6" t="n">
        <v>458</v>
      </c>
      <c r="J35" s="7" t="inlineStr">
        <is>
          <t>The invoice lists a part that was never actually replaced.</t>
        </is>
      </c>
      <c r="K35" s="3" t="n">
        <v>46231.36523148148</v>
      </c>
      <c r="L35" s="3" t="n">
        <v>46236.69856481482</v>
      </c>
      <c r="M35" s="3" t="n">
        <v>46233.86921296296</v>
      </c>
      <c r="N35" s="8">
        <f>IF(K35="","",ROUND((K35-B35)*24,1))</f>
        <v/>
      </c>
      <c r="O35" s="8">
        <f>IF(M35="","",ROUND(M35-B35,1))</f>
        <v/>
      </c>
      <c r="P35" s="9">
        <f>IF(M35="","",IF(M35&lt;=L35,"yes","no"))</f>
        <v/>
      </c>
      <c r="Q35" s="5" t="inlineStr">
        <is>
          <t>refund_due</t>
        </is>
      </c>
      <c r="R35" s="3" t="n">
        <v>46234.28587962963</v>
      </c>
      <c r="S35" s="7" t="inlineStr">
        <is>
          <t>Reviewed the job card against the original estimate — the extra charge was not pre-approved, so a refund was issued for the difference.</t>
        </is>
      </c>
      <c r="T35" s="5" t="inlineStr">
        <is>
          <t>measurement</t>
        </is>
      </c>
      <c r="U35" s="7" t="inlineStr">
        <is>
          <t>The QC road test was not logged before the vehicle was released.</t>
        </is>
      </c>
      <c r="V35" s="7" t="inlineStr">
        <is>
          <t>Added a parts-match check against the job card before issue from stores.</t>
        </is>
      </c>
      <c r="W35" s="10" t="n">
        <v>46259</v>
      </c>
      <c r="X35" s="3" t="n"/>
      <c r="Y35" s="3" t="n">
        <v>46236.28587962963</v>
      </c>
      <c r="Z35" s="3" t="n"/>
      <c r="AA35" s="5" t="inlineStr">
        <is>
          <t>manager</t>
        </is>
      </c>
      <c r="AB35" s="2" t="inlineStr">
        <is>
          <t>Tarek El Sayed</t>
        </is>
      </c>
    </row>
    <row r="36">
      <c r="A36" s="2" t="inlineStr">
        <is>
          <t>CMP-20260729-3366</t>
        </is>
      </c>
      <c r="B36" s="3" t="n">
        <v>46232.36495370371</v>
      </c>
      <c r="C36" s="11" t="inlineStr">
        <is>
          <t>S2</t>
        </is>
      </c>
      <c r="D36" s="5" t="inlineStr"/>
      <c r="E36" s="5" t="inlineStr">
        <is>
          <t>resolved</t>
        </is>
      </c>
      <c r="F36" s="5" t="inlineStr">
        <is>
          <t>whatsapp</t>
        </is>
      </c>
      <c r="G36" s="2" t="inlineStr">
        <is>
          <t>MR-KANNAN VIJAYAPRAKASH KUNJUPILL</t>
        </is>
      </c>
      <c r="H36" s="2" t="n"/>
      <c r="I36" s="6" t="n">
        <v>1120</v>
      </c>
      <c r="J36" s="7" t="inlineStr">
        <is>
          <t>Was quoted one price over the phone and charged a higher one at pickup.</t>
        </is>
      </c>
      <c r="K36" s="3" t="n">
        <v>46232.44828703703</v>
      </c>
      <c r="L36" s="3" t="n">
        <v>46238.36495370371</v>
      </c>
      <c r="M36" s="3" t="n">
        <v>46235.20150462963</v>
      </c>
      <c r="N36" s="8">
        <f>IF(K36="","",ROUND((K36-B36)*24,1))</f>
        <v/>
      </c>
      <c r="O36" s="8">
        <f>IF(M36="","",ROUND(M36-B36,1))</f>
        <v/>
      </c>
      <c r="P36" s="9">
        <f>IF(M36="","",IF(M36&lt;=L36,"yes","no"))</f>
        <v/>
      </c>
      <c r="Q36" s="5" t="inlineStr">
        <is>
          <t>charge_correct</t>
        </is>
      </c>
      <c r="R36" s="3" t="n">
        <v>46235.32650462963</v>
      </c>
      <c r="S36" s="7" t="inlineStr">
        <is>
          <t>Estimate covered parts only per the original quote; the labour line was itemised separately from the start. No adjustment due.</t>
        </is>
      </c>
      <c r="T36" s="5" t="n"/>
      <c r="U36" s="7" t="n"/>
      <c r="V36" s="7" t="n"/>
      <c r="W36" s="10" t="n"/>
      <c r="X36" s="3" t="n"/>
      <c r="Y36" s="3" t="n">
        <v>46236.99317129629</v>
      </c>
      <c r="Z36" s="3" t="n"/>
      <c r="AA36" s="5" t="inlineStr">
        <is>
          <t>manager</t>
        </is>
      </c>
      <c r="AB36" s="2" t="inlineStr">
        <is>
          <t>Priya Menon</t>
        </is>
      </c>
    </row>
    <row r="37">
      <c r="A37" s="2" t="inlineStr">
        <is>
          <t>CMP-20260729-5462</t>
        </is>
      </c>
      <c r="B37" s="3" t="n">
        <v>46232.4587962963</v>
      </c>
      <c r="C37" s="11" t="inlineStr">
        <is>
          <t>S2</t>
        </is>
      </c>
      <c r="D37" s="5" t="inlineStr"/>
      <c r="E37" s="5" t="inlineStr">
        <is>
          <t>resolved</t>
        </is>
      </c>
      <c r="F37" s="5" t="inlineStr">
        <is>
          <t>phone</t>
        </is>
      </c>
      <c r="G37" s="2" t="inlineStr">
        <is>
          <t>ARSALA FAZAL RECOVERY</t>
        </is>
      </c>
      <c r="H37" s="2" t="n"/>
      <c r="I37" s="6" t="n">
        <v>919</v>
      </c>
      <c r="J37" s="7" t="inlineStr">
        <is>
          <t>Charged more than the quoted estimate for the repair — no one called to explain the extra work before it was done.</t>
        </is>
      </c>
      <c r="K37" s="3" t="n">
        <v>46232.5837962963</v>
      </c>
      <c r="L37" s="3" t="n">
        <v>46238.4587962963</v>
      </c>
      <c r="M37" s="3" t="n">
        <v>46239.25046296296</v>
      </c>
      <c r="N37" s="8">
        <f>IF(K37="","",ROUND((K37-B37)*24,1))</f>
        <v/>
      </c>
      <c r="O37" s="8">
        <f>IF(M37="","",ROUND(M37-B37,1))</f>
        <v/>
      </c>
      <c r="P37" s="9">
        <f>IF(M37="","",IF(M37&lt;=L37,"yes","no"))</f>
        <v/>
      </c>
      <c r="Q37" s="5" t="inlineStr">
        <is>
          <t>partial_refund</t>
        </is>
      </c>
      <c r="R37" s="3" t="n">
        <v>46240.25046296296</v>
      </c>
      <c r="S37" s="7" t="inlineStr">
        <is>
          <t>Partial refund agreed — the diagnostic fee should have been waived per policy, the labour charge itself was correct.</t>
        </is>
      </c>
      <c r="T37" s="5" t="n"/>
      <c r="U37" s="7" t="n"/>
      <c r="V37" s="7" t="n"/>
      <c r="W37" s="10" t="n"/>
      <c r="X37" s="3" t="n"/>
      <c r="Y37" s="3" t="n"/>
      <c r="Z37" s="3" t="n"/>
      <c r="AA37" s="5" t="inlineStr">
        <is>
          <t>manager</t>
        </is>
      </c>
      <c r="AB37" s="2" t="inlineStr">
        <is>
          <t>Nadia Khoury</t>
        </is>
      </c>
    </row>
    <row r="38">
      <c r="A38" s="2" t="inlineStr">
        <is>
          <t>CMP-20260729-6784</t>
        </is>
      </c>
      <c r="B38" s="3" t="n">
        <v>46232.69858796296</v>
      </c>
      <c r="C38" s="11" t="inlineStr">
        <is>
          <t>S2</t>
        </is>
      </c>
      <c r="D38" s="5" t="inlineStr"/>
      <c r="E38" s="5" t="inlineStr">
        <is>
          <t>resolved</t>
        </is>
      </c>
      <c r="F38" s="5" t="inlineStr">
        <is>
          <t>whatsapp</t>
        </is>
      </c>
      <c r="G38" s="2" t="inlineStr">
        <is>
          <t>ABDUL RAHMAN FAHD MOHAMMED</t>
        </is>
      </c>
      <c r="H38" s="2" t="n"/>
      <c r="I38" s="6" t="n">
        <v>0</v>
      </c>
      <c r="J38" s="7" t="inlineStr">
        <is>
          <t>The service reminder light was never reset after the oil change.</t>
        </is>
      </c>
      <c r="K38" s="3" t="n">
        <v>46233.28192129629</v>
      </c>
      <c r="L38" s="3" t="n">
        <v>46238.69858796296</v>
      </c>
      <c r="M38" s="3" t="n">
        <v>46236.01798611111</v>
      </c>
      <c r="N38" s="8">
        <f>IF(K38="","",ROUND((K38-B38)*24,1))</f>
        <v/>
      </c>
      <c r="O38" s="8">
        <f>IF(M38="","",ROUND(M38-B38,1))</f>
        <v/>
      </c>
      <c r="P38" s="9">
        <f>IF(M38="","",IF(M38&lt;=L38,"yes","no"))</f>
        <v/>
      </c>
      <c r="Q38" s="5" t="inlineStr">
        <is>
          <t>charge_correct</t>
        </is>
      </c>
      <c r="R38" s="3" t="n">
        <v>46236.43465277777</v>
      </c>
      <c r="S38" s="7" t="inlineStr">
        <is>
          <t>Estimate covered parts only per the original quote; the labour line was itemised separately from the start. No adjustment due.</t>
        </is>
      </c>
      <c r="T38" s="5" t="n"/>
      <c r="U38" s="7" t="n"/>
      <c r="V38" s="7" t="n"/>
      <c r="W38" s="10" t="n"/>
      <c r="X38" s="3" t="n"/>
      <c r="Y38" s="3" t="n"/>
      <c r="Z38" s="3" t="n"/>
      <c r="AA38" s="5" t="inlineStr">
        <is>
          <t>manager</t>
        </is>
      </c>
      <c r="AB38" s="2" t="inlineStr">
        <is>
          <t>Nadia Khoury</t>
        </is>
      </c>
    </row>
    <row r="39">
      <c r="A39" s="2" t="inlineStr">
        <is>
          <t>CMP-20260729-1889</t>
        </is>
      </c>
      <c r="B39" s="3" t="n">
        <v>46232.78175925926</v>
      </c>
      <c r="C39" s="11" t="inlineStr">
        <is>
          <t>S2</t>
        </is>
      </c>
      <c r="D39" s="5" t="inlineStr"/>
      <c r="E39" s="5" t="inlineStr">
        <is>
          <t>resolved</t>
        </is>
      </c>
      <c r="F39" s="5" t="inlineStr">
        <is>
          <t>in_person</t>
        </is>
      </c>
      <c r="G39" s="2" t="inlineStr">
        <is>
          <t>Fadi Karam</t>
        </is>
      </c>
      <c r="H39" s="2" t="n"/>
      <c r="I39" s="6" t="n">
        <v>1439</v>
      </c>
      <c r="J39" s="7" t="inlineStr">
        <is>
          <t>Charged for more labour hours than the original estimate without being told beforehand.</t>
        </is>
      </c>
      <c r="K39" s="3" t="n">
        <v>46234.03175925926</v>
      </c>
      <c r="L39" s="3" t="n">
        <v>46238.78175925926</v>
      </c>
      <c r="M39" s="3" t="n">
        <v>46238.24186342592</v>
      </c>
      <c r="N39" s="8">
        <f>IF(K39="","",ROUND((K39-B39)*24,1))</f>
        <v/>
      </c>
      <c r="O39" s="8">
        <f>IF(M39="","",ROUND(M39-B39,1))</f>
        <v/>
      </c>
      <c r="P39" s="9">
        <f>IF(M39="","",IF(M39&lt;=L39,"yes","no"))</f>
        <v/>
      </c>
      <c r="Q39" s="5" t="inlineStr">
        <is>
          <t>goodwill</t>
        </is>
      </c>
      <c r="R39" s="3" t="n">
        <v>46238.70019675926</v>
      </c>
      <c r="S39" s="7" t="inlineStr">
        <is>
          <t>Free re-check booked at no charge and a discount applied to the next visit as a gesture of goodwill.</t>
        </is>
      </c>
      <c r="T39" s="5" t="n"/>
      <c r="U39" s="7" t="n"/>
      <c r="V39" s="7" t="n"/>
      <c r="W39" s="10" t="n"/>
      <c r="X39" s="3" t="n"/>
      <c r="Y39" s="3" t="n">
        <v>46240.45019675926</v>
      </c>
      <c r="Z39" s="3" t="n"/>
      <c r="AA39" s="5" t="inlineStr">
        <is>
          <t>manager</t>
        </is>
      </c>
      <c r="AB39" s="2" t="inlineStr">
        <is>
          <t>Workshop Manager</t>
        </is>
      </c>
    </row>
    <row r="40">
      <c r="A40" s="2" t="inlineStr">
        <is>
          <t>CMP-20260731-6473</t>
        </is>
      </c>
      <c r="B40" s="3" t="n">
        <v>46234.55209490741</v>
      </c>
      <c r="C40" s="12" t="inlineStr">
        <is>
          <t>S3</t>
        </is>
      </c>
      <c r="D40" s="5" t="inlineStr"/>
      <c r="E40" s="5" t="inlineStr">
        <is>
          <t>closed</t>
        </is>
      </c>
      <c r="F40" s="5" t="inlineStr">
        <is>
          <t>in_person</t>
        </is>
      </c>
      <c r="G40" s="2" t="inlineStr">
        <is>
          <t>RENJU GEORGE</t>
        </is>
      </c>
      <c r="H40" s="2" t="n"/>
      <c r="I40" s="6" t="n">
        <v>0</v>
      </c>
      <c r="J40" s="7" t="inlineStr">
        <is>
          <t>Was promised a courtesy car and none was available on the day.</t>
        </is>
      </c>
      <c r="K40" s="3" t="n">
        <v>46236.13542824074</v>
      </c>
      <c r="L40" s="3" t="n">
        <v>46237.55209490741</v>
      </c>
      <c r="M40" s="3" t="n">
        <v>46236.89324074074</v>
      </c>
      <c r="N40" s="8">
        <f>IF(K40="","",ROUND((K40-B40)*24,1))</f>
        <v/>
      </c>
      <c r="O40" s="8">
        <f>IF(M40="","",ROUND(M40-B40,1))</f>
        <v/>
      </c>
      <c r="P40" s="9">
        <f>IF(M40="","",IF(M40&lt;=L40,"yes","no"))</f>
        <v/>
      </c>
      <c r="Q40" s="5" t="inlineStr">
        <is>
          <t>goodwill</t>
        </is>
      </c>
      <c r="R40" s="3" t="n">
        <v>46237.55990740741</v>
      </c>
      <c r="S40" s="7" t="inlineStr">
        <is>
          <t>No billing error found, but offered a complimentary detail as a goodwill gesture for the inconvenience.</t>
        </is>
      </c>
      <c r="T40" s="5" t="n"/>
      <c r="U40" s="7" t="n"/>
      <c r="V40" s="7" t="n"/>
      <c r="W40" s="10" t="n"/>
      <c r="X40" s="3" t="n"/>
      <c r="Y40" s="3" t="n">
        <v>46238.55990740741</v>
      </c>
      <c r="Z40" s="3" t="n"/>
      <c r="AA40" s="5" t="inlineStr">
        <is>
          <t>advisor</t>
        </is>
      </c>
      <c r="AB40" s="2" t="inlineStr">
        <is>
          <t>Tarek El Sayed</t>
        </is>
      </c>
    </row>
    <row r="41">
      <c r="A41" s="2" t="inlineStr">
        <is>
          <t>CMP-20260803-3841</t>
        </is>
      </c>
      <c r="B41" s="3" t="n">
        <v>46237.62509259259</v>
      </c>
      <c r="C41" s="11" t="inlineStr">
        <is>
          <t>S2</t>
        </is>
      </c>
      <c r="D41" s="5" t="inlineStr"/>
      <c r="E41" s="5" t="inlineStr">
        <is>
          <t>resolved</t>
        </is>
      </c>
      <c r="F41" s="5" t="inlineStr">
        <is>
          <t>whatsapp</t>
        </is>
      </c>
      <c r="G41" s="2" t="inlineStr">
        <is>
          <t>HARJEET SINGH TEJPAL SINGH</t>
        </is>
      </c>
      <c r="H41" s="2" t="n"/>
      <c r="I41" s="6" t="n">
        <v>0</v>
      </c>
      <c r="J41" s="7" t="inlineStr">
        <is>
          <t>Oil stains were left on the driver seat and floor mat after the service.</t>
        </is>
      </c>
      <c r="K41" s="3" t="n">
        <v>46239.45842592593</v>
      </c>
      <c r="L41" s="3" t="n">
        <v>46243.62509259259</v>
      </c>
      <c r="M41" s="3" t="n">
        <v>46242.59703703703</v>
      </c>
      <c r="N41" s="8">
        <f>IF(K41="","",ROUND((K41-B41)*24,1))</f>
        <v/>
      </c>
      <c r="O41" s="8">
        <f>IF(M41="","",ROUND(M41-B41,1))</f>
        <v/>
      </c>
      <c r="P41" s="9">
        <f>IF(M41="","",IF(M41&lt;=L41,"yes","no"))</f>
        <v/>
      </c>
      <c r="Q41" s="5" t="inlineStr">
        <is>
          <t>charge_correct</t>
        </is>
      </c>
      <c r="R41" s="3" t="n">
        <v>46243.43037037037</v>
      </c>
      <c r="S41" s="7" t="inlineStr">
        <is>
          <t>Walked the customer through the job card and photos taken during the work — the additional labour matched what was actually required. Charge stands, explained clearly.</t>
        </is>
      </c>
      <c r="T41" s="5" t="n"/>
      <c r="U41" s="7" t="n"/>
      <c r="V41" s="7" t="n"/>
      <c r="W41" s="10" t="n"/>
      <c r="X41" s="3" t="n"/>
      <c r="Y41" s="3" t="n"/>
      <c r="Z41" s="3" t="n"/>
      <c r="AA41" s="5" t="inlineStr">
        <is>
          <t>manager</t>
        </is>
      </c>
      <c r="AB41" s="2" t="inlineStr">
        <is>
          <t>Priya Menon</t>
        </is>
      </c>
    </row>
    <row r="42">
      <c r="A42" s="2" t="inlineStr">
        <is>
          <t>CMP-20260807-6089</t>
        </is>
      </c>
      <c r="B42" s="3" t="n">
        <v>46241.66702546296</v>
      </c>
      <c r="C42" s="11" t="inlineStr">
        <is>
          <t>S2</t>
        </is>
      </c>
      <c r="D42" s="5" t="inlineStr"/>
      <c r="E42" s="5" t="inlineStr">
        <is>
          <t>resolved</t>
        </is>
      </c>
      <c r="F42" s="5" t="inlineStr">
        <is>
          <t>whatsapp</t>
        </is>
      </c>
      <c r="G42" s="2" t="inlineStr">
        <is>
          <t>RATHEESH POILINGAL KRISHNANKUTTY</t>
        </is>
      </c>
      <c r="H42" s="2" t="n"/>
      <c r="I42" s="6" t="n">
        <v>0</v>
      </c>
      <c r="J42" s="7" t="inlineStr">
        <is>
          <t>AC still isn't cooling properly after paying for the recharge service.</t>
        </is>
      </c>
      <c r="K42" s="3" t="n">
        <v>46242.87535879629</v>
      </c>
      <c r="L42" s="3" t="n">
        <v>46246.66702546296</v>
      </c>
      <c r="M42" s="3" t="n">
        <v>46244.98576388889</v>
      </c>
      <c r="N42" s="8">
        <f>IF(K42="","",ROUND((K42-B42)*24,1))</f>
        <v/>
      </c>
      <c r="O42" s="8">
        <f>IF(M42="","",ROUND(M42-B42,1))</f>
        <v/>
      </c>
      <c r="P42" s="9">
        <f>IF(M42="","",IF(M42&lt;=L42,"yes","no"))</f>
        <v/>
      </c>
      <c r="Q42" s="5" t="inlineStr">
        <is>
          <t>goodwill</t>
        </is>
      </c>
      <c r="R42" s="3" t="n">
        <v>46245.36076388889</v>
      </c>
      <c r="S42" s="7" t="inlineStr">
        <is>
          <t>Free re-check booked at no charge and a discount applied to the next visit as a gesture of goodwill.</t>
        </is>
      </c>
      <c r="T42" s="5" t="n"/>
      <c r="U42" s="7" t="n"/>
      <c r="V42" s="7" t="n"/>
      <c r="W42" s="10" t="n"/>
      <c r="X42" s="3" t="n"/>
      <c r="Y42" s="3" t="n"/>
      <c r="Z42" s="3" t="n"/>
      <c r="AA42" s="5" t="inlineStr">
        <is>
          <t>manager</t>
        </is>
      </c>
      <c r="AB42" s="2" t="inlineStr">
        <is>
          <t>Tarek El Sayed</t>
        </is>
      </c>
    </row>
    <row r="43">
      <c r="A43" s="2" t="inlineStr">
        <is>
          <t>CMP-20260809-3062</t>
        </is>
      </c>
      <c r="B43" s="3" t="n">
        <v>46243.48971064815</v>
      </c>
      <c r="C43" s="11" t="inlineStr">
        <is>
          <t>S2</t>
        </is>
      </c>
      <c r="D43" s="5" t="inlineStr"/>
      <c r="E43" s="5" t="inlineStr">
        <is>
          <t>resolved</t>
        </is>
      </c>
      <c r="F43" s="5" t="inlineStr">
        <is>
          <t>whatsapp</t>
        </is>
      </c>
      <c r="G43" s="2" t="inlineStr">
        <is>
          <t>MOHAMMED MUMTAZ AHMED</t>
        </is>
      </c>
      <c r="H43" s="2" t="n"/>
      <c r="I43" s="6" t="n">
        <v>0</v>
      </c>
      <c r="J43" s="7" t="inlineStr">
        <is>
          <t>Oil stains were left on the driver seat and floor mat after the service.</t>
        </is>
      </c>
      <c r="K43" s="3" t="n">
        <v>46243.78137731482</v>
      </c>
      <c r="L43" s="3" t="n">
        <v>46249.48971064815</v>
      </c>
      <c r="M43" s="3" t="n">
        <v>46253.48971064815</v>
      </c>
      <c r="N43" s="8">
        <f>IF(K43="","",ROUND((K43-B43)*24,1))</f>
        <v/>
      </c>
      <c r="O43" s="8">
        <f>IF(M43="","",ROUND(M43-B43,1))</f>
        <v/>
      </c>
      <c r="P43" s="9">
        <f>IF(M43="","",IF(M43&lt;=L43,"yes","no"))</f>
        <v/>
      </c>
      <c r="Q43" s="5" t="inlineStr">
        <is>
          <t>refund_due</t>
        </is>
      </c>
      <c r="R43" s="3" t="n"/>
      <c r="S43" s="7" t="inlineStr">
        <is>
          <t>Reviewed the job card against the original estimate — the extra charge was not pre-approved, so a refund was issued for the difference.</t>
        </is>
      </c>
      <c r="T43" s="5" t="n"/>
      <c r="U43" s="7" t="n"/>
      <c r="V43" s="7" t="n"/>
      <c r="W43" s="10" t="n"/>
      <c r="X43" s="3" t="n"/>
      <c r="Y43" s="3" t="n"/>
      <c r="Z43" s="3" t="n"/>
      <c r="AA43" s="5" t="inlineStr">
        <is>
          <t>manager</t>
        </is>
      </c>
      <c r="AB43" s="2" t="inlineStr">
        <is>
          <t>Priya Menon</t>
        </is>
      </c>
    </row>
    <row r="44">
      <c r="A44" s="2" t="inlineStr">
        <is>
          <t>CMP-20260814-4937</t>
        </is>
      </c>
      <c r="B44" s="3" t="n">
        <v>46248.67740740741</v>
      </c>
      <c r="C44" s="11" t="inlineStr">
        <is>
          <t>S2</t>
        </is>
      </c>
      <c r="D44" s="5" t="inlineStr"/>
      <c r="E44" s="5" t="inlineStr">
        <is>
          <t>resolved</t>
        </is>
      </c>
      <c r="F44" s="5" t="inlineStr">
        <is>
          <t>phone</t>
        </is>
      </c>
      <c r="G44" s="2" t="inlineStr">
        <is>
          <t>RATHEESH POILINGAL KRISHNANKUTTY</t>
        </is>
      </c>
      <c r="H44" s="2" t="n"/>
      <c r="I44" s="6" t="n">
        <v>990</v>
      </c>
      <c r="J44" s="7" t="inlineStr">
        <is>
          <t>Was quoted one price over the phone and charged a higher one at pickup.</t>
        </is>
      </c>
      <c r="K44" s="3" t="n">
        <v>46249.51074074074</v>
      </c>
      <c r="L44" s="3" t="n">
        <v>46253.67740740741</v>
      </c>
      <c r="M44" s="3" t="n">
        <v>46252.26100694444</v>
      </c>
      <c r="N44" s="8">
        <f>IF(K44="","",ROUND((K44-B44)*24,1))</f>
        <v/>
      </c>
      <c r="O44" s="8">
        <f>IF(M44="","",ROUND(M44-B44,1))</f>
        <v/>
      </c>
      <c r="P44" s="9">
        <f>IF(M44="","",IF(M44&lt;=L44,"yes","no"))</f>
        <v/>
      </c>
      <c r="Q44" s="5" t="inlineStr">
        <is>
          <t>partial_refund</t>
        </is>
      </c>
      <c r="R44" s="3" t="n">
        <v>46252.63600694444</v>
      </c>
      <c r="S44" s="7" t="inlineStr">
        <is>
          <t>Split the difference: goodwill refund for the delay, full charge retained for the work performed.</t>
        </is>
      </c>
      <c r="T44" s="5" t="n"/>
      <c r="U44" s="7" t="n"/>
      <c r="V44" s="7" t="n"/>
      <c r="W44" s="10" t="n"/>
      <c r="X44" s="3" t="n"/>
      <c r="Y44" s="3" t="n"/>
      <c r="Z44" s="3" t="n"/>
      <c r="AA44" s="5" t="inlineStr">
        <is>
          <t>manager</t>
        </is>
      </c>
      <c r="AB44" s="2" t="inlineStr">
        <is>
          <t>Nadia Khoury</t>
        </is>
      </c>
    </row>
    <row r="45">
      <c r="A45" s="2" t="inlineStr">
        <is>
          <t>CMP-20260822-4444</t>
        </is>
      </c>
      <c r="B45" s="3" t="n">
        <v>46256.59429398148</v>
      </c>
      <c r="C45" s="11" t="inlineStr">
        <is>
          <t>S2</t>
        </is>
      </c>
      <c r="D45" s="5" t="inlineStr"/>
      <c r="E45" s="5" t="inlineStr">
        <is>
          <t>investigating</t>
        </is>
      </c>
      <c r="F45" s="5" t="inlineStr">
        <is>
          <t>phone</t>
        </is>
      </c>
      <c r="G45" s="2" t="inlineStr">
        <is>
          <t>MR-MUJEEB THOLANDAKATH PUTHIYAPURAYIL IBR</t>
        </is>
      </c>
      <c r="H45" s="2" t="n"/>
      <c r="I45" s="6" t="n">
        <v>1334</v>
      </c>
      <c r="J45" s="7" t="inlineStr">
        <is>
          <t>Wasn't told the warranty wouldn't cover the part that was replaced, only found out on the invoice.</t>
        </is>
      </c>
      <c r="K45" s="3" t="n">
        <v>46256.80262731481</v>
      </c>
      <c r="L45" s="3" t="n">
        <v>46261.59429398148</v>
      </c>
      <c r="M45" s="3" t="n"/>
      <c r="N45" s="8">
        <f>IF(K45="","",ROUND((K45-B45)*24,1))</f>
        <v/>
      </c>
      <c r="O45" s="8">
        <f>IF(M45="","",ROUND(M45-B45,1))</f>
        <v/>
      </c>
      <c r="P45" s="9">
        <f>IF(M45="","",IF(M45&lt;=L45,"yes","no"))</f>
        <v/>
      </c>
      <c r="Q45" s="5" t="inlineStr">
        <is>
          <t>pending</t>
        </is>
      </c>
      <c r="R45" s="3" t="n"/>
      <c r="S45" s="7" t="n"/>
      <c r="T45" s="5" t="n"/>
      <c r="U45" s="7" t="n"/>
      <c r="V45" s="7" t="n"/>
      <c r="W45" s="10" t="n"/>
      <c r="X45" s="3" t="n"/>
      <c r="Y45" s="3" t="n"/>
      <c r="Z45" s="3" t="n">
        <v>46262.26096064815</v>
      </c>
      <c r="AA45" s="5" t="inlineStr">
        <is>
          <t>senior</t>
        </is>
      </c>
      <c r="AB45" s="2" t="inlineStr">
        <is>
          <t>Nadia Khoury</t>
        </is>
      </c>
    </row>
    <row r="46">
      <c r="A46" s="2" t="inlineStr">
        <is>
          <t>CMP-20260824-7863</t>
        </is>
      </c>
      <c r="B46" s="3" t="n">
        <v>46258.54210648148</v>
      </c>
      <c r="C46" s="11" t="inlineStr">
        <is>
          <t>S2</t>
        </is>
      </c>
      <c r="D46" s="5" t="inlineStr"/>
      <c r="E46" s="5" t="inlineStr">
        <is>
          <t>closed</t>
        </is>
      </c>
      <c r="F46" s="5" t="inlineStr">
        <is>
          <t>phone</t>
        </is>
      </c>
      <c r="G46" s="2" t="inlineStr">
        <is>
          <t>MR-NAZEEB NAZAR ABUBACKER NAZAR</t>
        </is>
      </c>
      <c r="H46" s="2" t="n"/>
      <c r="I46" s="6" t="n">
        <v>0</v>
      </c>
      <c r="J46" s="7" t="inlineStr">
        <is>
          <t>Oil stains were left on the driver seat and floor mat after the service.</t>
        </is>
      </c>
      <c r="K46" s="3" t="n">
        <v>46258.58377314815</v>
      </c>
      <c r="L46" s="3" t="n">
        <v>46264.54210648148</v>
      </c>
      <c r="M46" s="3" t="n">
        <v>46261.61109953704</v>
      </c>
      <c r="N46" s="8">
        <f>IF(K46="","",ROUND((K46-B46)*24,1))</f>
        <v/>
      </c>
      <c r="O46" s="8">
        <f>IF(M46="","",ROUND(M46-B46,1))</f>
        <v/>
      </c>
      <c r="P46" s="9">
        <f>IF(M46="","",IF(M46&lt;=L46,"yes","no"))</f>
        <v/>
      </c>
      <c r="Q46" s="5" t="inlineStr">
        <is>
          <t>refund_due</t>
        </is>
      </c>
      <c r="R46" s="3" t="n">
        <v>46261.6527662037</v>
      </c>
      <c r="S46" s="7" t="inlineStr">
        <is>
          <t>Confirmed the part billed was not the one fitted. Refunded the line item.</t>
        </is>
      </c>
      <c r="T46" s="5" t="inlineStr">
        <is>
          <t>environment</t>
        </is>
      </c>
      <c r="U46" s="7" t="inlineStr">
        <is>
          <t>The bay was over capacity that week, and the job was rushed to make room.</t>
        </is>
      </c>
      <c r="V46" s="7" t="inlineStr">
        <is>
          <t>Added a parts-match check against the job card before issue from stores.</t>
        </is>
      </c>
      <c r="W46" s="10" t="n">
        <v>46283</v>
      </c>
      <c r="X46" s="3" t="n"/>
      <c r="Y46" s="3" t="n">
        <v>46262.98609953704</v>
      </c>
      <c r="Z46" s="3" t="n"/>
      <c r="AA46" s="5" t="inlineStr">
        <is>
          <t>manager</t>
        </is>
      </c>
      <c r="AB46" s="2" t="inlineStr">
        <is>
          <t>Nadia Khoury</t>
        </is>
      </c>
    </row>
    <row r="47">
      <c r="A47" s="2" t="inlineStr">
        <is>
          <t>CMP-20260827-1290</t>
        </is>
      </c>
      <c r="B47" s="3" t="n">
        <v>46261.5</v>
      </c>
      <c r="C47" s="11" t="inlineStr">
        <is>
          <t>S2</t>
        </is>
      </c>
      <c r="D47" s="5" t="inlineStr"/>
      <c r="E47" s="5" t="inlineStr">
        <is>
          <t>resolved</t>
        </is>
      </c>
      <c r="F47" s="5" t="inlineStr">
        <is>
          <t>phone</t>
        </is>
      </c>
      <c r="G47" s="2" t="inlineStr">
        <is>
          <t>NISHA SAJIT</t>
        </is>
      </c>
      <c r="H47" s="2" t="n"/>
      <c r="I47" s="6" t="n">
        <v>1201</v>
      </c>
      <c r="J47" s="7" t="inlineStr">
        <is>
          <t>Charged for more labour hours than the original estimate without being told beforehand.</t>
        </is>
      </c>
      <c r="K47" s="3" t="n">
        <v>46262</v>
      </c>
      <c r="L47" s="3" t="n">
        <v>46267.5</v>
      </c>
      <c r="M47" s="3" t="n">
        <v>46266.98010416667</v>
      </c>
      <c r="N47" s="8">
        <f>IF(K47="","",ROUND((K47-B47)*24,1))</f>
        <v/>
      </c>
      <c r="O47" s="8">
        <f>IF(M47="","",ROUND(M47-B47,1))</f>
        <v/>
      </c>
      <c r="P47" s="9">
        <f>IF(M47="","",IF(M47&lt;=L47,"yes","no"))</f>
        <v/>
      </c>
      <c r="Q47" s="5" t="inlineStr">
        <is>
          <t>goodwill</t>
        </is>
      </c>
      <c r="R47" s="3" t="n">
        <v>46267.85510416667</v>
      </c>
      <c r="S47" s="7" t="inlineStr">
        <is>
          <t>Free re-check booked at no charge and a discount applied to the next visit as a gesture of goodwill.</t>
        </is>
      </c>
      <c r="T47" s="5" t="n"/>
      <c r="U47" s="7" t="n"/>
      <c r="V47" s="7" t="n"/>
      <c r="W47" s="10" t="n"/>
      <c r="X47" s="3" t="n"/>
      <c r="Y47" s="3" t="n">
        <v>46269.6884375</v>
      </c>
      <c r="Z47" s="3" t="n"/>
      <c r="AA47" s="5" t="inlineStr">
        <is>
          <t>manager</t>
        </is>
      </c>
      <c r="AB47" s="2" t="inlineStr">
        <is>
          <t>Tarek El Sayed</t>
        </is>
      </c>
    </row>
    <row r="48">
      <c r="A48" s="2" t="inlineStr">
        <is>
          <t>CMP-20260828-3973</t>
        </is>
      </c>
      <c r="B48" s="3" t="n">
        <v>46262.82341435185</v>
      </c>
      <c r="C48" s="11" t="inlineStr">
        <is>
          <t>S2</t>
        </is>
      </c>
      <c r="D48" s="5" t="inlineStr"/>
      <c r="E48" s="5" t="inlineStr">
        <is>
          <t>resolved</t>
        </is>
      </c>
      <c r="F48" s="5" t="inlineStr">
        <is>
          <t>whatsapp</t>
        </is>
      </c>
      <c r="G48" s="2" t="inlineStr">
        <is>
          <t>SOORAJ POOZHITHOTTATHIL</t>
        </is>
      </c>
      <c r="H48" s="2" t="n"/>
      <c r="I48" s="6" t="n">
        <v>554</v>
      </c>
      <c r="J48" s="7" t="inlineStr">
        <is>
          <t>Wasn't told the warranty wouldn't cover the part that was replaced, only found out on the invoice.</t>
        </is>
      </c>
      <c r="K48" s="3" t="n">
        <v>46263.28174768519</v>
      </c>
      <c r="L48" s="3" t="n">
        <v>46267.82341435185</v>
      </c>
      <c r="M48" s="3" t="n">
        <v>46266.78899305555</v>
      </c>
      <c r="N48" s="8">
        <f>IF(K48="","",ROUND((K48-B48)*24,1))</f>
        <v/>
      </c>
      <c r="O48" s="8">
        <f>IF(M48="","",ROUND(M48-B48,1))</f>
        <v/>
      </c>
      <c r="P48" s="9">
        <f>IF(M48="","",IF(M48&lt;=L48,"yes","no"))</f>
        <v/>
      </c>
      <c r="Q48" s="5" t="inlineStr">
        <is>
          <t>partial_refund</t>
        </is>
      </c>
      <c r="R48" s="3" t="n"/>
      <c r="S48" s="7" t="inlineStr">
        <is>
          <t>Split the difference: goodwill refund for the delay, full charge retained for the work performed.</t>
        </is>
      </c>
      <c r="T48" s="5" t="n"/>
      <c r="U48" s="7" t="n"/>
      <c r="V48" s="7" t="n"/>
      <c r="W48" s="10" t="n"/>
      <c r="X48" s="3" t="n"/>
      <c r="Y48" s="3" t="n"/>
      <c r="Z48" s="3" t="n"/>
      <c r="AA48" s="5" t="inlineStr">
        <is>
          <t>manager</t>
        </is>
      </c>
      <c r="AB48" s="2" t="inlineStr">
        <is>
          <t>Tarek El Sayed</t>
        </is>
      </c>
    </row>
    <row r="49">
      <c r="A49" s="2" t="inlineStr">
        <is>
          <t>CMP-20260830-5535</t>
        </is>
      </c>
      <c r="B49" s="3" t="n">
        <v>46264.54190972223</v>
      </c>
      <c r="C49" s="11" t="inlineStr">
        <is>
          <t>S2</t>
        </is>
      </c>
      <c r="D49" s="5" t="inlineStr"/>
      <c r="E49" s="5" t="inlineStr">
        <is>
          <t>resolved</t>
        </is>
      </c>
      <c r="F49" s="5" t="inlineStr">
        <is>
          <t>phone</t>
        </is>
      </c>
      <c r="G49" s="2" t="inlineStr">
        <is>
          <t>MOHAMED IDRISH ABDUL MALIK</t>
        </is>
      </c>
      <c r="H49" s="2" t="n"/>
      <c r="I49" s="6" t="n">
        <v>0</v>
      </c>
      <c r="J49" s="7" t="inlineStr">
        <is>
          <t>Car came back with a scratch on the bumper that wasn't there at drop-off.</t>
        </is>
      </c>
      <c r="K49" s="3" t="n">
        <v>46265.29190972223</v>
      </c>
      <c r="L49" s="3" t="n">
        <v>46270.54190972223</v>
      </c>
      <c r="M49" s="3" t="n">
        <v>46274.50024305555</v>
      </c>
      <c r="N49" s="8">
        <f>IF(K49="","",ROUND((K49-B49)*24,1))</f>
        <v/>
      </c>
      <c r="O49" s="8">
        <f>IF(M49="","",ROUND(M49-B49,1))</f>
        <v/>
      </c>
      <c r="P49" s="9">
        <f>IF(M49="","",IF(M49&lt;=L49,"yes","no"))</f>
        <v/>
      </c>
      <c r="Q49" s="5" t="inlineStr">
        <is>
          <t>partial_refund</t>
        </is>
      </c>
      <c r="R49" s="3" t="n">
        <v>46274.80376157408</v>
      </c>
      <c r="S49" s="7" t="inlineStr">
        <is>
          <t>Partial refund agreed — the diagnostic fee should have been waived per policy, the labour charge itself was correct.</t>
        </is>
      </c>
      <c r="T49" s="5" t="n"/>
      <c r="U49" s="7" t="n"/>
      <c r="V49" s="7" t="n"/>
      <c r="W49" s="10" t="n"/>
      <c r="X49" s="3" t="n"/>
      <c r="Y49" s="3" t="n"/>
      <c r="Z49" s="3" t="n"/>
      <c r="AA49" s="5" t="inlineStr">
        <is>
          <t>manager</t>
        </is>
      </c>
      <c r="AB49" s="2" t="inlineStr">
        <is>
          <t>Tarek El Sayed</t>
        </is>
      </c>
    </row>
    <row r="50">
      <c r="A50" s="2" t="inlineStr">
        <is>
          <t>CMP-20260904-6918</t>
        </is>
      </c>
      <c r="B50" s="3" t="n">
        <v>46269.51041666666</v>
      </c>
      <c r="C50" s="12" t="inlineStr">
        <is>
          <t>S3</t>
        </is>
      </c>
      <c r="D50" s="5" t="inlineStr"/>
      <c r="E50" s="5" t="inlineStr">
        <is>
          <t>investigating</t>
        </is>
      </c>
      <c r="F50" s="5" t="inlineStr">
        <is>
          <t>whatsapp</t>
        </is>
      </c>
      <c r="G50" s="2" t="inlineStr">
        <is>
          <t>MR-NAKASH BORKER VASSU BORKER</t>
        </is>
      </c>
      <c r="H50" s="2" t="n"/>
      <c r="I50" s="6" t="n">
        <v>0</v>
      </c>
      <c r="J50" s="7" t="inlineStr">
        <is>
          <t>Left a voicemail for a status update four days ago, still no callback.</t>
        </is>
      </c>
      <c r="K50" s="3" t="n">
        <v>46269.80208333334</v>
      </c>
      <c r="L50" s="3" t="n">
        <v>46272.51041666666</v>
      </c>
      <c r="M50" s="3" t="n"/>
      <c r="N50" s="8">
        <f>IF(K50="","",ROUND((K50-B50)*24,1))</f>
        <v/>
      </c>
      <c r="O50" s="8">
        <f>IF(M50="","",ROUND(M50-B50,1))</f>
        <v/>
      </c>
      <c r="P50" s="9">
        <f>IF(M50="","",IF(M50&lt;=L50,"yes","no"))</f>
        <v/>
      </c>
      <c r="Q50" s="5" t="inlineStr">
        <is>
          <t>pending</t>
        </is>
      </c>
      <c r="R50" s="3" t="n"/>
      <c r="S50" s="7" t="n"/>
      <c r="T50" s="5" t="n"/>
      <c r="U50" s="7" t="n"/>
      <c r="V50" s="7" t="n"/>
      <c r="W50" s="10" t="n"/>
      <c r="X50" s="3" t="n"/>
      <c r="Y50" s="3" t="n"/>
      <c r="Z50" s="3" t="n">
        <v>46273.80208333334</v>
      </c>
      <c r="AA50" s="5" t="inlineStr">
        <is>
          <t>senior</t>
        </is>
      </c>
      <c r="AB50" s="2" t="inlineStr">
        <is>
          <t>Nadia Khoury</t>
        </is>
      </c>
    </row>
    <row r="51">
      <c r="A51" s="2" t="inlineStr">
        <is>
          <t>CMP-20260904-1084</t>
        </is>
      </c>
      <c r="B51" s="3" t="n">
        <v>46269.80215277777</v>
      </c>
      <c r="C51" s="11" t="inlineStr">
        <is>
          <t>S2</t>
        </is>
      </c>
      <c r="D51" s="5" t="inlineStr"/>
      <c r="E51" s="5" t="inlineStr">
        <is>
          <t>resolved</t>
        </is>
      </c>
      <c r="F51" s="5" t="inlineStr">
        <is>
          <t>phone</t>
        </is>
      </c>
      <c r="G51" s="2" t="inlineStr">
        <is>
          <t>ANAND SIVARAMAN</t>
        </is>
      </c>
      <c r="H51" s="2" t="n"/>
      <c r="I51" s="6" t="n">
        <v>0</v>
      </c>
      <c r="J51" s="7" t="inlineStr">
        <is>
          <t>Vehicle was ready two days later than promised, with no update until I called in myself.</t>
        </is>
      </c>
      <c r="K51" s="3" t="n">
        <v>46270.17715277777</v>
      </c>
      <c r="L51" s="3" t="n">
        <v>46274.80215277777</v>
      </c>
      <c r="M51" s="3" t="n">
        <v>46274.80376157408</v>
      </c>
      <c r="N51" s="8">
        <f>IF(K51="","",ROUND((K51-B51)*24,1))</f>
        <v/>
      </c>
      <c r="O51" s="8">
        <f>IF(M51="","",ROUND(M51-B51,1))</f>
        <v/>
      </c>
      <c r="P51" s="9">
        <f>IF(M51="","",IF(M51&lt;=L51,"yes","no"))</f>
        <v/>
      </c>
      <c r="Q51" s="5" t="inlineStr">
        <is>
          <t>refund_due</t>
        </is>
      </c>
      <c r="R51" s="3" t="n">
        <v>46274.80376157408</v>
      </c>
      <c r="S51" s="7" t="inlineStr">
        <is>
          <t>Confirmed the part billed was not the one fitted. Refunded the line item.</t>
        </is>
      </c>
      <c r="T51" s="5" t="n"/>
      <c r="U51" s="7" t="n"/>
      <c r="V51" s="7" t="n"/>
      <c r="W51" s="10" t="n"/>
      <c r="X51" s="3" t="n"/>
      <c r="Y51" s="3" t="n">
        <v>46274.80376157408</v>
      </c>
      <c r="Z51" s="3" t="n"/>
      <c r="AA51" s="5" t="inlineStr">
        <is>
          <t>manager</t>
        </is>
      </c>
      <c r="AB51" s="2" t="inlineStr">
        <is>
          <t>Workshop Manager</t>
        </is>
      </c>
    </row>
    <row r="52">
      <c r="A52" s="2" t="inlineStr">
        <is>
          <t>CMP-20260907-1140</t>
        </is>
      </c>
      <c r="B52" s="3" t="n">
        <v>46272.62508101852</v>
      </c>
      <c r="C52" s="11" t="inlineStr">
        <is>
          <t>S2</t>
        </is>
      </c>
      <c r="D52" s="5" t="inlineStr"/>
      <c r="E52" s="5" t="inlineStr">
        <is>
          <t>investigating</t>
        </is>
      </c>
      <c r="F52" s="5" t="inlineStr">
        <is>
          <t>phone</t>
        </is>
      </c>
      <c r="G52" s="2" t="inlineStr">
        <is>
          <t>KHALIL M HAJ</t>
        </is>
      </c>
      <c r="H52" s="2" t="n"/>
      <c r="I52" s="6" t="n">
        <v>620</v>
      </c>
      <c r="J52" s="7" t="inlineStr">
        <is>
          <t>Charged more than the quoted estimate for the repair — no one called to explain the extra work before it was done.</t>
        </is>
      </c>
      <c r="K52" s="3" t="n">
        <v>46273.62508101852</v>
      </c>
      <c r="L52" s="3" t="n">
        <v>46278.62508101852</v>
      </c>
      <c r="M52" s="3" t="n"/>
      <c r="N52" s="8">
        <f>IF(K52="","",ROUND((K52-B52)*24,1))</f>
        <v/>
      </c>
      <c r="O52" s="8">
        <f>IF(M52="","",ROUND(M52-B52,1))</f>
        <v/>
      </c>
      <c r="P52" s="9">
        <f>IF(M52="","",IF(M52&lt;=L52,"yes","no"))</f>
        <v/>
      </c>
      <c r="Q52" s="5" t="inlineStr">
        <is>
          <t>pending</t>
        </is>
      </c>
      <c r="R52" s="3" t="n"/>
      <c r="S52" s="7" t="n"/>
      <c r="T52" s="5" t="n"/>
      <c r="U52" s="7" t="n"/>
      <c r="V52" s="7" t="n"/>
      <c r="W52" s="10" t="n"/>
      <c r="X52" s="3" t="n"/>
      <c r="Y52" s="3" t="n"/>
      <c r="Z52" s="3" t="n"/>
      <c r="AA52" s="5" t="inlineStr">
        <is>
          <t>manager</t>
        </is>
      </c>
      <c r="AB52" s="2" t="inlineStr">
        <is>
          <t>Workshop Manager</t>
        </is>
      </c>
    </row>
    <row r="53">
      <c r="A53" s="2" t="inlineStr">
        <is>
          <t>CMP-20260909-2630</t>
        </is>
      </c>
      <c r="B53" s="3" t="n">
        <v>46274.04480324074</v>
      </c>
      <c r="C53" s="11" t="inlineStr">
        <is>
          <t>S2</t>
        </is>
      </c>
      <c r="D53" s="5" t="inlineStr"/>
      <c r="E53" s="5" t="inlineStr">
        <is>
          <t>closed</t>
        </is>
      </c>
      <c r="F53" s="5" t="inlineStr">
        <is>
          <t>phone</t>
        </is>
      </c>
      <c r="G53" s="2" t="n"/>
      <c r="H53" s="2" t="n"/>
      <c r="I53" s="6" t="n">
        <v>450</v>
      </c>
      <c r="J53" s="7" t="inlineStr">
        <is>
          <t>Customer says the AC repair did not fix the issue, still blowing warm air.</t>
        </is>
      </c>
      <c r="K53" s="3" t="n">
        <v>46274.04490740741</v>
      </c>
      <c r="L53" s="3" t="n"/>
      <c r="M53" s="3" t="n">
        <v>46274.04490740741</v>
      </c>
      <c r="N53" s="8">
        <f>IF(K53="","",ROUND((K53-B53)*24,1))</f>
        <v/>
      </c>
      <c r="O53" s="8">
        <f>IF(M53="","",ROUND(M53-B53,1))</f>
        <v/>
      </c>
      <c r="P53" s="9">
        <f>IF(M53="","",IF(M53&lt;=L53,"yes","no"))</f>
        <v/>
      </c>
      <c r="Q53" s="5" t="inlineStr">
        <is>
          <t>refund_due</t>
        </is>
      </c>
      <c r="R53" s="3" t="n">
        <v>46274.04490740741</v>
      </c>
      <c r="S53" s="7" t="inlineStr">
        <is>
          <t>AC compressor was faulty from a bad part; replaced under warranty.</t>
        </is>
      </c>
      <c r="T53" s="5" t="n"/>
      <c r="U53" s="7" t="n"/>
      <c r="V53" s="7" t="n"/>
      <c r="W53" s="10" t="n"/>
      <c r="X53" s="3" t="n"/>
      <c r="Y53" s="3" t="n"/>
      <c r="Z53" s="3" t="n"/>
      <c r="AA53" s="5" t="inlineStr">
        <is>
          <t>advisor</t>
        </is>
      </c>
      <c r="AB53" s="2" t="inlineStr">
        <is>
          <t>Workshop Manager</t>
        </is>
      </c>
    </row>
    <row r="54">
      <c r="A54" s="2" t="inlineStr">
        <is>
          <t>CMP-20260909-4163</t>
        </is>
      </c>
      <c r="B54" s="3" t="n">
        <v>46274.04502314814</v>
      </c>
      <c r="C54" s="11" t="inlineStr">
        <is>
          <t>S2</t>
        </is>
      </c>
      <c r="D54" s="5" t="inlineStr"/>
      <c r="E54" s="5" t="inlineStr">
        <is>
          <t>closed</t>
        </is>
      </c>
      <c r="F54" s="5" t="inlineStr">
        <is>
          <t>whatsapp</t>
        </is>
      </c>
      <c r="G54" s="2" t="n"/>
      <c r="H54" s="2" t="n"/>
      <c r="I54" s="6" t="n">
        <v>0</v>
      </c>
      <c r="J54" s="7" t="inlineStr">
        <is>
          <t>Invoice amount does not match the quote given verbally.</t>
        </is>
      </c>
      <c r="K54" s="3" t="n">
        <v>46274.04887731482</v>
      </c>
      <c r="L54" s="3" t="n"/>
      <c r="M54" s="3" t="n">
        <v>46274.04918981482</v>
      </c>
      <c r="N54" s="8">
        <f>IF(K54="","",ROUND((K54-B54)*24,1))</f>
        <v/>
      </c>
      <c r="O54" s="8">
        <f>IF(M54="","",ROUND(M54-B54,1))</f>
        <v/>
      </c>
      <c r="P54" s="9">
        <f>IF(M54="","",IF(M54&lt;=L54,"yes","no"))</f>
        <v/>
      </c>
      <c r="Q54" s="5" t="inlineStr">
        <is>
          <t>refund_due</t>
        </is>
      </c>
      <c r="R54" s="3" t="n">
        <v>46274.04935185185</v>
      </c>
      <c r="S54" s="7" t="n"/>
      <c r="T54" s="5" t="n"/>
      <c r="U54" s="7" t="n"/>
      <c r="V54" s="7" t="n"/>
      <c r="W54" s="10" t="n"/>
      <c r="X54" s="3" t="n"/>
      <c r="Y54" s="3" t="n"/>
      <c r="Z54" s="3" t="n"/>
      <c r="AA54" s="5" t="inlineStr">
        <is>
          <t>advisor</t>
        </is>
      </c>
      <c r="AB54" s="2" t="inlineStr">
        <is>
          <t>Workshop Manager</t>
        </is>
      </c>
    </row>
    <row r="55">
      <c r="A55" s="2" t="inlineStr">
        <is>
          <t>CMP-20260909-6077</t>
        </is>
      </c>
      <c r="B55" s="3" t="n">
        <v>46274.04975694444</v>
      </c>
      <c r="C55" s="11" t="inlineStr">
        <is>
          <t>S2</t>
        </is>
      </c>
      <c r="D55" s="5" t="inlineStr"/>
      <c r="E55" s="5" t="inlineStr">
        <is>
          <t>open</t>
        </is>
      </c>
      <c r="F55" s="5" t="inlineStr">
        <is>
          <t>phone</t>
        </is>
      </c>
      <c r="G55" s="2" t="inlineStr">
        <is>
          <t>Ahmed Mansour</t>
        </is>
      </c>
      <c r="H55" s="2" t="n"/>
      <c r="I55" s="6" t="n">
        <v>0</v>
      </c>
      <c r="J55" s="7" t="inlineStr">
        <is>
          <t>Customer says the invoice total is higher than the phone quote for brake pads.</t>
        </is>
      </c>
      <c r="K55" s="3" t="n"/>
      <c r="L55" s="3" t="n"/>
      <c r="M55" s="3" t="n"/>
      <c r="N55" s="8">
        <f>IF(K55="","",ROUND((K55-B55)*24,1))</f>
        <v/>
      </c>
      <c r="O55" s="8">
        <f>IF(M55="","",ROUND(M55-B55,1))</f>
        <v/>
      </c>
      <c r="P55" s="9">
        <f>IF(M55="","",IF(M55&lt;=L55,"yes","no"))</f>
        <v/>
      </c>
      <c r="Q55" s="5" t="inlineStr">
        <is>
          <t>pending</t>
        </is>
      </c>
      <c r="R55" s="3" t="n"/>
      <c r="S55" s="7" t="n"/>
      <c r="T55" s="5" t="n"/>
      <c r="U55" s="7" t="n"/>
      <c r="V55" s="7" t="n"/>
      <c r="W55" s="10" t="n"/>
      <c r="X55" s="3" t="n"/>
      <c r="Y55" s="3" t="n"/>
      <c r="Z55" s="3" t="n"/>
      <c r="AA55" s="5" t="inlineStr">
        <is>
          <t>advisor</t>
        </is>
      </c>
      <c r="AB55" s="2" t="inlineStr">
        <is>
          <t>Workshop Manager</t>
        </is>
      </c>
    </row>
  </sheetData>
  <autoFilter ref="A1:AB5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hidden="1" width="14" customWidth="1" min="7" max="7"/>
    <col hidden="1" width="13" customWidth="1" min="8" max="8"/>
  </cols>
  <sheetData>
    <row r="1">
      <c r="A1" s="13" t="inlineStr">
        <is>
          <t>Pioneer Car Service Center — Complaints, October 2025 to September 2026</t>
        </is>
      </c>
    </row>
    <row r="2">
      <c r="A2" s="14" t="inlineStr">
        <is>
          <t>Rolling twelve months. September 2026 is a partial month. See the Notes sheet before reporting these figures.</t>
        </is>
      </c>
    </row>
    <row r="4">
      <c r="A4" s="13" t="inlineStr">
        <is>
          <t>Headline</t>
        </is>
      </c>
    </row>
    <row r="5">
      <c r="A5" s="15" t="inlineStr">
        <is>
          <t>Complaints logged</t>
        </is>
      </c>
      <c r="B5" s="16">
        <f>COUNTA(Complaints!$A$2:$A$55)</f>
        <v/>
      </c>
    </row>
    <row r="6">
      <c r="A6" s="15" t="inlineStr">
        <is>
          <t>Still open or investigating</t>
        </is>
      </c>
      <c r="B6" s="16">
        <f>COUNTIF(Complaints!$E$2:$E$55,"open")+COUNTIF(Complaints!$E$2:$E$55,"investigating")</f>
        <v/>
      </c>
    </row>
    <row r="7">
      <c r="A7" s="15" t="inlineStr">
        <is>
          <t>Resolved or closed</t>
        </is>
      </c>
      <c r="B7" s="16">
        <f>COUNTIF(Complaints!$E$2:$E$55,"resolved")+COUNTIF(Complaints!$E$2:$E$55,"closed")</f>
        <v/>
      </c>
    </row>
    <row r="8">
      <c r="A8" s="15" t="inlineStr">
        <is>
          <t>Repeat complaints</t>
        </is>
      </c>
      <c r="B8" s="16">
        <f>COUNTIF(Complaints!$D$2:$D$55,"yes")</f>
        <v/>
      </c>
    </row>
    <row r="9">
      <c r="A9" s="15" t="inlineStr">
        <is>
          <t>Mean hours to acknowledge</t>
        </is>
      </c>
      <c r="B9" s="17">
        <f>ROUND(AVERAGE(Complaints!$N$2:$N$55),1)</f>
        <v/>
      </c>
    </row>
    <row r="10">
      <c r="A10" s="15" t="inlineStr">
        <is>
          <t>Mean days to resolve</t>
        </is>
      </c>
      <c r="B10" s="17">
        <f>ROUND(AVERAGE(Complaints!$O$2:$O$55),1)</f>
        <v/>
      </c>
    </row>
    <row r="11">
      <c r="A11" s="15" t="inlineStr">
        <is>
          <t>Resolved within target</t>
        </is>
      </c>
      <c r="B11" s="18">
        <f>IF(COUNTIF(Complaints!$P$2:$P$55,"yes")+COUNTIF(Complaints!$P$2:$P$55,"no")=0,"",ROUND(COUNTIF(Complaints!$P$2:$P$55,"yes")/(COUNTIF(Complaints!$P$2:$P$55,"yes")+COUNTIF(Complaints!$P$2:$P$55,"no"))*100,1))</f>
        <v/>
      </c>
    </row>
    <row r="12">
      <c r="A12" s="15" t="inlineStr">
        <is>
          <t>Total amount in dispute (AED)</t>
        </is>
      </c>
      <c r="B12" s="19">
        <f>ROUND(SUM(Complaints!$I$2:$I$55),2)</f>
        <v/>
      </c>
    </row>
    <row r="14">
      <c r="A14" s="13" t="inlineStr">
        <is>
          <t>By month</t>
        </is>
      </c>
    </row>
    <row r="15">
      <c r="A15" s="20" t="inlineStr">
        <is>
          <t>Month</t>
        </is>
      </c>
      <c r="B15" s="21" t="inlineStr">
        <is>
          <t>Logged</t>
        </is>
      </c>
      <c r="C15" s="21" t="inlineStr">
        <is>
          <t>S1</t>
        </is>
      </c>
      <c r="D15" s="21" t="inlineStr">
        <is>
          <t>S2</t>
        </is>
      </c>
      <c r="E15" s="21" t="inlineStr">
        <is>
          <t>S3</t>
        </is>
      </c>
      <c r="F15" s="21" t="inlineStr">
        <is>
          <t>Within target</t>
        </is>
      </c>
    </row>
    <row r="16">
      <c r="A16" s="15" t="inlineStr">
        <is>
          <t>Oct 2025</t>
        </is>
      </c>
      <c r="B16" s="16">
        <f>COUNTIFS(Complaints!$B$2:$B$55,"&gt;="&amp;$G16,Complaints!$B$2:$B$55,"&lt;"&amp;$H16)</f>
        <v/>
      </c>
      <c r="C16" s="16">
        <f>COUNTIFS(Complaints!$B$2:$B$55,"&gt;="&amp;$G16,Complaints!$B$2:$B$55,"&lt;"&amp;$H16,Complaints!$C$2:$C$55,"S1")</f>
        <v/>
      </c>
      <c r="D16" s="16">
        <f>COUNTIFS(Complaints!$B$2:$B$55,"&gt;="&amp;$G16,Complaints!$B$2:$B$55,"&lt;"&amp;$H16,Complaints!$C$2:$C$55,"S2")</f>
        <v/>
      </c>
      <c r="E16" s="16">
        <f>COUNTIFS(Complaints!$B$2:$B$55,"&gt;="&amp;$G16,Complaints!$B$2:$B$55,"&lt;"&amp;$H16,Complaints!$C$2:$C$55,"S3")</f>
        <v/>
      </c>
      <c r="F16" s="22">
        <f>IF(COUNTIFS(Complaints!$B$2:$B$55,"&gt;="&amp;$G16,Complaints!$B$2:$B$55,"&lt;"&amp;$H16,Complaints!$P$2:$P$55,"yes")+COUNTIFS(Complaints!$B$2:$B$55,"&gt;="&amp;$G16,Complaints!$B$2:$B$55,"&lt;"&amp;$H16,Complaints!$P$2:$P$55,"no")=0,"",ROUND(COUNTIFS(Complaints!$B$2:$B$55,"&gt;="&amp;$G16,Complaints!$B$2:$B$55,"&lt;"&amp;$H16,Complaints!$P$2:$P$55,"yes")/(COUNTIFS(Complaints!$B$2:$B$55,"&gt;="&amp;$G16,Complaints!$B$2:$B$55,"&lt;"&amp;$H16,Complaints!$P$2:$P$55,"yes")+COUNTIFS(Complaints!$B$2:$B$55,"&gt;="&amp;$G16,Complaints!$B$2:$B$55,"&lt;"&amp;$H16,Complaints!$P$2:$P$55,"no"))*100,0))</f>
        <v/>
      </c>
      <c r="G16" s="23" t="n">
        <v>45931</v>
      </c>
      <c r="H16" s="23" t="n">
        <v>45962</v>
      </c>
    </row>
    <row r="17">
      <c r="A17" s="15" t="inlineStr">
        <is>
          <t>Nov 2025</t>
        </is>
      </c>
      <c r="B17" s="16">
        <f>COUNTIFS(Complaints!$B$2:$B$55,"&gt;="&amp;$G17,Complaints!$B$2:$B$55,"&lt;"&amp;$H17)</f>
        <v/>
      </c>
      <c r="C17" s="16">
        <f>COUNTIFS(Complaints!$B$2:$B$55,"&gt;="&amp;$G17,Complaints!$B$2:$B$55,"&lt;"&amp;$H17,Complaints!$C$2:$C$55,"S1")</f>
        <v/>
      </c>
      <c r="D17" s="16">
        <f>COUNTIFS(Complaints!$B$2:$B$55,"&gt;="&amp;$G17,Complaints!$B$2:$B$55,"&lt;"&amp;$H17,Complaints!$C$2:$C$55,"S2")</f>
        <v/>
      </c>
      <c r="E17" s="16">
        <f>COUNTIFS(Complaints!$B$2:$B$55,"&gt;="&amp;$G17,Complaints!$B$2:$B$55,"&lt;"&amp;$H17,Complaints!$C$2:$C$55,"S3")</f>
        <v/>
      </c>
      <c r="F17" s="22">
        <f>IF(COUNTIFS(Complaints!$B$2:$B$55,"&gt;="&amp;$G17,Complaints!$B$2:$B$55,"&lt;"&amp;$H17,Complaints!$P$2:$P$55,"yes")+COUNTIFS(Complaints!$B$2:$B$55,"&gt;="&amp;$G17,Complaints!$B$2:$B$55,"&lt;"&amp;$H17,Complaints!$P$2:$P$55,"no")=0,"",ROUND(COUNTIFS(Complaints!$B$2:$B$55,"&gt;="&amp;$G17,Complaints!$B$2:$B$55,"&lt;"&amp;$H17,Complaints!$P$2:$P$55,"yes")/(COUNTIFS(Complaints!$B$2:$B$55,"&gt;="&amp;$G17,Complaints!$B$2:$B$55,"&lt;"&amp;$H17,Complaints!$P$2:$P$55,"yes")+COUNTIFS(Complaints!$B$2:$B$55,"&gt;="&amp;$G17,Complaints!$B$2:$B$55,"&lt;"&amp;$H17,Complaints!$P$2:$P$55,"no"))*100,0))</f>
        <v/>
      </c>
      <c r="G17" s="23" t="n">
        <v>45962</v>
      </c>
      <c r="H17" s="23" t="n">
        <v>45992</v>
      </c>
    </row>
    <row r="18">
      <c r="A18" s="15" t="inlineStr">
        <is>
          <t>Dec 2025</t>
        </is>
      </c>
      <c r="B18" s="16">
        <f>COUNTIFS(Complaints!$B$2:$B$55,"&gt;="&amp;$G18,Complaints!$B$2:$B$55,"&lt;"&amp;$H18)</f>
        <v/>
      </c>
      <c r="C18" s="16">
        <f>COUNTIFS(Complaints!$B$2:$B$55,"&gt;="&amp;$G18,Complaints!$B$2:$B$55,"&lt;"&amp;$H18,Complaints!$C$2:$C$55,"S1")</f>
        <v/>
      </c>
      <c r="D18" s="16">
        <f>COUNTIFS(Complaints!$B$2:$B$55,"&gt;="&amp;$G18,Complaints!$B$2:$B$55,"&lt;"&amp;$H18,Complaints!$C$2:$C$55,"S2")</f>
        <v/>
      </c>
      <c r="E18" s="16">
        <f>COUNTIFS(Complaints!$B$2:$B$55,"&gt;="&amp;$G18,Complaints!$B$2:$B$55,"&lt;"&amp;$H18,Complaints!$C$2:$C$55,"S3")</f>
        <v/>
      </c>
      <c r="F18" s="22">
        <f>IF(COUNTIFS(Complaints!$B$2:$B$55,"&gt;="&amp;$G18,Complaints!$B$2:$B$55,"&lt;"&amp;$H18,Complaints!$P$2:$P$55,"yes")+COUNTIFS(Complaints!$B$2:$B$55,"&gt;="&amp;$G18,Complaints!$B$2:$B$55,"&lt;"&amp;$H18,Complaints!$P$2:$P$55,"no")=0,"",ROUND(COUNTIFS(Complaints!$B$2:$B$55,"&gt;="&amp;$G18,Complaints!$B$2:$B$55,"&lt;"&amp;$H18,Complaints!$P$2:$P$55,"yes")/(COUNTIFS(Complaints!$B$2:$B$55,"&gt;="&amp;$G18,Complaints!$B$2:$B$55,"&lt;"&amp;$H18,Complaints!$P$2:$P$55,"yes")+COUNTIFS(Complaints!$B$2:$B$55,"&gt;="&amp;$G18,Complaints!$B$2:$B$55,"&lt;"&amp;$H18,Complaints!$P$2:$P$55,"no"))*100,0))</f>
        <v/>
      </c>
      <c r="G18" s="23" t="n">
        <v>45992</v>
      </c>
      <c r="H18" s="23" t="n">
        <v>46023</v>
      </c>
    </row>
    <row r="19">
      <c r="A19" s="15" t="inlineStr">
        <is>
          <t>Jan 2026</t>
        </is>
      </c>
      <c r="B19" s="16">
        <f>COUNTIFS(Complaints!$B$2:$B$55,"&gt;="&amp;$G19,Complaints!$B$2:$B$55,"&lt;"&amp;$H19)</f>
        <v/>
      </c>
      <c r="C19" s="16">
        <f>COUNTIFS(Complaints!$B$2:$B$55,"&gt;="&amp;$G19,Complaints!$B$2:$B$55,"&lt;"&amp;$H19,Complaints!$C$2:$C$55,"S1")</f>
        <v/>
      </c>
      <c r="D19" s="16">
        <f>COUNTIFS(Complaints!$B$2:$B$55,"&gt;="&amp;$G19,Complaints!$B$2:$B$55,"&lt;"&amp;$H19,Complaints!$C$2:$C$55,"S2")</f>
        <v/>
      </c>
      <c r="E19" s="16">
        <f>COUNTIFS(Complaints!$B$2:$B$55,"&gt;="&amp;$G19,Complaints!$B$2:$B$55,"&lt;"&amp;$H19,Complaints!$C$2:$C$55,"S3")</f>
        <v/>
      </c>
      <c r="F19" s="22">
        <f>IF(COUNTIFS(Complaints!$B$2:$B$55,"&gt;="&amp;$G19,Complaints!$B$2:$B$55,"&lt;"&amp;$H19,Complaints!$P$2:$P$55,"yes")+COUNTIFS(Complaints!$B$2:$B$55,"&gt;="&amp;$G19,Complaints!$B$2:$B$55,"&lt;"&amp;$H19,Complaints!$P$2:$P$55,"no")=0,"",ROUND(COUNTIFS(Complaints!$B$2:$B$55,"&gt;="&amp;$G19,Complaints!$B$2:$B$55,"&lt;"&amp;$H19,Complaints!$P$2:$P$55,"yes")/(COUNTIFS(Complaints!$B$2:$B$55,"&gt;="&amp;$G19,Complaints!$B$2:$B$55,"&lt;"&amp;$H19,Complaints!$P$2:$P$55,"yes")+COUNTIFS(Complaints!$B$2:$B$55,"&gt;="&amp;$G19,Complaints!$B$2:$B$55,"&lt;"&amp;$H19,Complaints!$P$2:$P$55,"no"))*100,0))</f>
        <v/>
      </c>
      <c r="G19" s="23" t="n">
        <v>46023</v>
      </c>
      <c r="H19" s="23" t="n">
        <v>46054</v>
      </c>
    </row>
    <row r="20">
      <c r="A20" s="15" t="inlineStr">
        <is>
          <t>Feb 2026</t>
        </is>
      </c>
      <c r="B20" s="16">
        <f>COUNTIFS(Complaints!$B$2:$B$55,"&gt;="&amp;$G20,Complaints!$B$2:$B$55,"&lt;"&amp;$H20)</f>
        <v/>
      </c>
      <c r="C20" s="16">
        <f>COUNTIFS(Complaints!$B$2:$B$55,"&gt;="&amp;$G20,Complaints!$B$2:$B$55,"&lt;"&amp;$H20,Complaints!$C$2:$C$55,"S1")</f>
        <v/>
      </c>
      <c r="D20" s="16">
        <f>COUNTIFS(Complaints!$B$2:$B$55,"&gt;="&amp;$G20,Complaints!$B$2:$B$55,"&lt;"&amp;$H20,Complaints!$C$2:$C$55,"S2")</f>
        <v/>
      </c>
      <c r="E20" s="16">
        <f>COUNTIFS(Complaints!$B$2:$B$55,"&gt;="&amp;$G20,Complaints!$B$2:$B$55,"&lt;"&amp;$H20,Complaints!$C$2:$C$55,"S3")</f>
        <v/>
      </c>
      <c r="F20" s="22">
        <f>IF(COUNTIFS(Complaints!$B$2:$B$55,"&gt;="&amp;$G20,Complaints!$B$2:$B$55,"&lt;"&amp;$H20,Complaints!$P$2:$P$55,"yes")+COUNTIFS(Complaints!$B$2:$B$55,"&gt;="&amp;$G20,Complaints!$B$2:$B$55,"&lt;"&amp;$H20,Complaints!$P$2:$P$55,"no")=0,"",ROUND(COUNTIFS(Complaints!$B$2:$B$55,"&gt;="&amp;$G20,Complaints!$B$2:$B$55,"&lt;"&amp;$H20,Complaints!$P$2:$P$55,"yes")/(COUNTIFS(Complaints!$B$2:$B$55,"&gt;="&amp;$G20,Complaints!$B$2:$B$55,"&lt;"&amp;$H20,Complaints!$P$2:$P$55,"yes")+COUNTIFS(Complaints!$B$2:$B$55,"&gt;="&amp;$G20,Complaints!$B$2:$B$55,"&lt;"&amp;$H20,Complaints!$P$2:$P$55,"no"))*100,0))</f>
        <v/>
      </c>
      <c r="G20" s="23" t="n">
        <v>46054</v>
      </c>
      <c r="H20" s="23" t="n">
        <v>46082</v>
      </c>
    </row>
    <row r="21">
      <c r="A21" s="15" t="inlineStr">
        <is>
          <t>Mar 2026</t>
        </is>
      </c>
      <c r="B21" s="16">
        <f>COUNTIFS(Complaints!$B$2:$B$55,"&gt;="&amp;$G21,Complaints!$B$2:$B$55,"&lt;"&amp;$H21)</f>
        <v/>
      </c>
      <c r="C21" s="16">
        <f>COUNTIFS(Complaints!$B$2:$B$55,"&gt;="&amp;$G21,Complaints!$B$2:$B$55,"&lt;"&amp;$H21,Complaints!$C$2:$C$55,"S1")</f>
        <v/>
      </c>
      <c r="D21" s="16">
        <f>COUNTIFS(Complaints!$B$2:$B$55,"&gt;="&amp;$G21,Complaints!$B$2:$B$55,"&lt;"&amp;$H21,Complaints!$C$2:$C$55,"S2")</f>
        <v/>
      </c>
      <c r="E21" s="16">
        <f>COUNTIFS(Complaints!$B$2:$B$55,"&gt;="&amp;$G21,Complaints!$B$2:$B$55,"&lt;"&amp;$H21,Complaints!$C$2:$C$55,"S3")</f>
        <v/>
      </c>
      <c r="F21" s="22">
        <f>IF(COUNTIFS(Complaints!$B$2:$B$55,"&gt;="&amp;$G21,Complaints!$B$2:$B$55,"&lt;"&amp;$H21,Complaints!$P$2:$P$55,"yes")+COUNTIFS(Complaints!$B$2:$B$55,"&gt;="&amp;$G21,Complaints!$B$2:$B$55,"&lt;"&amp;$H21,Complaints!$P$2:$P$55,"no")=0,"",ROUND(COUNTIFS(Complaints!$B$2:$B$55,"&gt;="&amp;$G21,Complaints!$B$2:$B$55,"&lt;"&amp;$H21,Complaints!$P$2:$P$55,"yes")/(COUNTIFS(Complaints!$B$2:$B$55,"&gt;="&amp;$G21,Complaints!$B$2:$B$55,"&lt;"&amp;$H21,Complaints!$P$2:$P$55,"yes")+COUNTIFS(Complaints!$B$2:$B$55,"&gt;="&amp;$G21,Complaints!$B$2:$B$55,"&lt;"&amp;$H21,Complaints!$P$2:$P$55,"no"))*100,0))</f>
        <v/>
      </c>
      <c r="G21" s="23" t="n">
        <v>46082</v>
      </c>
      <c r="H21" s="23" t="n">
        <v>46113</v>
      </c>
    </row>
    <row r="22">
      <c r="A22" s="15" t="inlineStr">
        <is>
          <t>Apr 2026</t>
        </is>
      </c>
      <c r="B22" s="16">
        <f>COUNTIFS(Complaints!$B$2:$B$55,"&gt;="&amp;$G22,Complaints!$B$2:$B$55,"&lt;"&amp;$H22)</f>
        <v/>
      </c>
      <c r="C22" s="16">
        <f>COUNTIFS(Complaints!$B$2:$B$55,"&gt;="&amp;$G22,Complaints!$B$2:$B$55,"&lt;"&amp;$H22,Complaints!$C$2:$C$55,"S1")</f>
        <v/>
      </c>
      <c r="D22" s="16">
        <f>COUNTIFS(Complaints!$B$2:$B$55,"&gt;="&amp;$G22,Complaints!$B$2:$B$55,"&lt;"&amp;$H22,Complaints!$C$2:$C$55,"S2")</f>
        <v/>
      </c>
      <c r="E22" s="16">
        <f>COUNTIFS(Complaints!$B$2:$B$55,"&gt;="&amp;$G22,Complaints!$B$2:$B$55,"&lt;"&amp;$H22,Complaints!$C$2:$C$55,"S3")</f>
        <v/>
      </c>
      <c r="F22" s="22">
        <f>IF(COUNTIFS(Complaints!$B$2:$B$55,"&gt;="&amp;$G22,Complaints!$B$2:$B$55,"&lt;"&amp;$H22,Complaints!$P$2:$P$55,"yes")+COUNTIFS(Complaints!$B$2:$B$55,"&gt;="&amp;$G22,Complaints!$B$2:$B$55,"&lt;"&amp;$H22,Complaints!$P$2:$P$55,"no")=0,"",ROUND(COUNTIFS(Complaints!$B$2:$B$55,"&gt;="&amp;$G22,Complaints!$B$2:$B$55,"&lt;"&amp;$H22,Complaints!$P$2:$P$55,"yes")/(COUNTIFS(Complaints!$B$2:$B$55,"&gt;="&amp;$G22,Complaints!$B$2:$B$55,"&lt;"&amp;$H22,Complaints!$P$2:$P$55,"yes")+COUNTIFS(Complaints!$B$2:$B$55,"&gt;="&amp;$G22,Complaints!$B$2:$B$55,"&lt;"&amp;$H22,Complaints!$P$2:$P$55,"no"))*100,0))</f>
        <v/>
      </c>
      <c r="G22" s="23" t="n">
        <v>46113</v>
      </c>
      <c r="H22" s="23" t="n">
        <v>46143</v>
      </c>
    </row>
    <row r="23">
      <c r="A23" s="15" t="inlineStr">
        <is>
          <t>May 2026</t>
        </is>
      </c>
      <c r="B23" s="16">
        <f>COUNTIFS(Complaints!$B$2:$B$55,"&gt;="&amp;$G23,Complaints!$B$2:$B$55,"&lt;"&amp;$H23)</f>
        <v/>
      </c>
      <c r="C23" s="16">
        <f>COUNTIFS(Complaints!$B$2:$B$55,"&gt;="&amp;$G23,Complaints!$B$2:$B$55,"&lt;"&amp;$H23,Complaints!$C$2:$C$55,"S1")</f>
        <v/>
      </c>
      <c r="D23" s="16">
        <f>COUNTIFS(Complaints!$B$2:$B$55,"&gt;="&amp;$G23,Complaints!$B$2:$B$55,"&lt;"&amp;$H23,Complaints!$C$2:$C$55,"S2")</f>
        <v/>
      </c>
      <c r="E23" s="16">
        <f>COUNTIFS(Complaints!$B$2:$B$55,"&gt;="&amp;$G23,Complaints!$B$2:$B$55,"&lt;"&amp;$H23,Complaints!$C$2:$C$55,"S3")</f>
        <v/>
      </c>
      <c r="F23" s="22">
        <f>IF(COUNTIFS(Complaints!$B$2:$B$55,"&gt;="&amp;$G23,Complaints!$B$2:$B$55,"&lt;"&amp;$H23,Complaints!$P$2:$P$55,"yes")+COUNTIFS(Complaints!$B$2:$B$55,"&gt;="&amp;$G23,Complaints!$B$2:$B$55,"&lt;"&amp;$H23,Complaints!$P$2:$P$55,"no")=0,"",ROUND(COUNTIFS(Complaints!$B$2:$B$55,"&gt;="&amp;$G23,Complaints!$B$2:$B$55,"&lt;"&amp;$H23,Complaints!$P$2:$P$55,"yes")/(COUNTIFS(Complaints!$B$2:$B$55,"&gt;="&amp;$G23,Complaints!$B$2:$B$55,"&lt;"&amp;$H23,Complaints!$P$2:$P$55,"yes")+COUNTIFS(Complaints!$B$2:$B$55,"&gt;="&amp;$G23,Complaints!$B$2:$B$55,"&lt;"&amp;$H23,Complaints!$P$2:$P$55,"no"))*100,0))</f>
        <v/>
      </c>
      <c r="G23" s="23" t="n">
        <v>46143</v>
      </c>
      <c r="H23" s="23" t="n">
        <v>46174</v>
      </c>
    </row>
    <row r="24">
      <c r="A24" s="15" t="inlineStr">
        <is>
          <t>Jun 2026</t>
        </is>
      </c>
      <c r="B24" s="16">
        <f>COUNTIFS(Complaints!$B$2:$B$55,"&gt;="&amp;$G24,Complaints!$B$2:$B$55,"&lt;"&amp;$H24)</f>
        <v/>
      </c>
      <c r="C24" s="16">
        <f>COUNTIFS(Complaints!$B$2:$B$55,"&gt;="&amp;$G24,Complaints!$B$2:$B$55,"&lt;"&amp;$H24,Complaints!$C$2:$C$55,"S1")</f>
        <v/>
      </c>
      <c r="D24" s="16">
        <f>COUNTIFS(Complaints!$B$2:$B$55,"&gt;="&amp;$G24,Complaints!$B$2:$B$55,"&lt;"&amp;$H24,Complaints!$C$2:$C$55,"S2")</f>
        <v/>
      </c>
      <c r="E24" s="16">
        <f>COUNTIFS(Complaints!$B$2:$B$55,"&gt;="&amp;$G24,Complaints!$B$2:$B$55,"&lt;"&amp;$H24,Complaints!$C$2:$C$55,"S3")</f>
        <v/>
      </c>
      <c r="F24" s="22">
        <f>IF(COUNTIFS(Complaints!$B$2:$B$55,"&gt;="&amp;$G24,Complaints!$B$2:$B$55,"&lt;"&amp;$H24,Complaints!$P$2:$P$55,"yes")+COUNTIFS(Complaints!$B$2:$B$55,"&gt;="&amp;$G24,Complaints!$B$2:$B$55,"&lt;"&amp;$H24,Complaints!$P$2:$P$55,"no")=0,"",ROUND(COUNTIFS(Complaints!$B$2:$B$55,"&gt;="&amp;$G24,Complaints!$B$2:$B$55,"&lt;"&amp;$H24,Complaints!$P$2:$P$55,"yes")/(COUNTIFS(Complaints!$B$2:$B$55,"&gt;="&amp;$G24,Complaints!$B$2:$B$55,"&lt;"&amp;$H24,Complaints!$P$2:$P$55,"yes")+COUNTIFS(Complaints!$B$2:$B$55,"&gt;="&amp;$G24,Complaints!$B$2:$B$55,"&lt;"&amp;$H24,Complaints!$P$2:$P$55,"no"))*100,0))</f>
        <v/>
      </c>
      <c r="G24" s="23" t="n">
        <v>46174</v>
      </c>
      <c r="H24" s="23" t="n">
        <v>46204</v>
      </c>
    </row>
    <row r="25">
      <c r="A25" s="15" t="inlineStr">
        <is>
          <t>Jul 2026</t>
        </is>
      </c>
      <c r="B25" s="16">
        <f>COUNTIFS(Complaints!$B$2:$B$55,"&gt;="&amp;$G25,Complaints!$B$2:$B$55,"&lt;"&amp;$H25)</f>
        <v/>
      </c>
      <c r="C25" s="16">
        <f>COUNTIFS(Complaints!$B$2:$B$55,"&gt;="&amp;$G25,Complaints!$B$2:$B$55,"&lt;"&amp;$H25,Complaints!$C$2:$C$55,"S1")</f>
        <v/>
      </c>
      <c r="D25" s="16">
        <f>COUNTIFS(Complaints!$B$2:$B$55,"&gt;="&amp;$G25,Complaints!$B$2:$B$55,"&lt;"&amp;$H25,Complaints!$C$2:$C$55,"S2")</f>
        <v/>
      </c>
      <c r="E25" s="16">
        <f>COUNTIFS(Complaints!$B$2:$B$55,"&gt;="&amp;$G25,Complaints!$B$2:$B$55,"&lt;"&amp;$H25,Complaints!$C$2:$C$55,"S3")</f>
        <v/>
      </c>
      <c r="F25" s="22">
        <f>IF(COUNTIFS(Complaints!$B$2:$B$55,"&gt;="&amp;$G25,Complaints!$B$2:$B$55,"&lt;"&amp;$H25,Complaints!$P$2:$P$55,"yes")+COUNTIFS(Complaints!$B$2:$B$55,"&gt;="&amp;$G25,Complaints!$B$2:$B$55,"&lt;"&amp;$H25,Complaints!$P$2:$P$55,"no")=0,"",ROUND(COUNTIFS(Complaints!$B$2:$B$55,"&gt;="&amp;$G25,Complaints!$B$2:$B$55,"&lt;"&amp;$H25,Complaints!$P$2:$P$55,"yes")/(COUNTIFS(Complaints!$B$2:$B$55,"&gt;="&amp;$G25,Complaints!$B$2:$B$55,"&lt;"&amp;$H25,Complaints!$P$2:$P$55,"yes")+COUNTIFS(Complaints!$B$2:$B$55,"&gt;="&amp;$G25,Complaints!$B$2:$B$55,"&lt;"&amp;$H25,Complaints!$P$2:$P$55,"no"))*100,0))</f>
        <v/>
      </c>
      <c r="G25" s="23" t="n">
        <v>46204</v>
      </c>
      <c r="H25" s="23" t="n">
        <v>46235</v>
      </c>
    </row>
    <row r="26">
      <c r="A26" s="15" t="inlineStr">
        <is>
          <t>Aug 2026</t>
        </is>
      </c>
      <c r="B26" s="16">
        <f>COUNTIFS(Complaints!$B$2:$B$55,"&gt;="&amp;$G26,Complaints!$B$2:$B$55,"&lt;"&amp;$H26)</f>
        <v/>
      </c>
      <c r="C26" s="16">
        <f>COUNTIFS(Complaints!$B$2:$B$55,"&gt;="&amp;$G26,Complaints!$B$2:$B$55,"&lt;"&amp;$H26,Complaints!$C$2:$C$55,"S1")</f>
        <v/>
      </c>
      <c r="D26" s="16">
        <f>COUNTIFS(Complaints!$B$2:$B$55,"&gt;="&amp;$G26,Complaints!$B$2:$B$55,"&lt;"&amp;$H26,Complaints!$C$2:$C$55,"S2")</f>
        <v/>
      </c>
      <c r="E26" s="16">
        <f>COUNTIFS(Complaints!$B$2:$B$55,"&gt;="&amp;$G26,Complaints!$B$2:$B$55,"&lt;"&amp;$H26,Complaints!$C$2:$C$55,"S3")</f>
        <v/>
      </c>
      <c r="F26" s="22">
        <f>IF(COUNTIFS(Complaints!$B$2:$B$55,"&gt;="&amp;$G26,Complaints!$B$2:$B$55,"&lt;"&amp;$H26,Complaints!$P$2:$P$55,"yes")+COUNTIFS(Complaints!$B$2:$B$55,"&gt;="&amp;$G26,Complaints!$B$2:$B$55,"&lt;"&amp;$H26,Complaints!$P$2:$P$55,"no")=0,"",ROUND(COUNTIFS(Complaints!$B$2:$B$55,"&gt;="&amp;$G26,Complaints!$B$2:$B$55,"&lt;"&amp;$H26,Complaints!$P$2:$P$55,"yes")/(COUNTIFS(Complaints!$B$2:$B$55,"&gt;="&amp;$G26,Complaints!$B$2:$B$55,"&lt;"&amp;$H26,Complaints!$P$2:$P$55,"yes")+COUNTIFS(Complaints!$B$2:$B$55,"&gt;="&amp;$G26,Complaints!$B$2:$B$55,"&lt;"&amp;$H26,Complaints!$P$2:$P$55,"no"))*100,0))</f>
        <v/>
      </c>
      <c r="G26" s="23" t="n">
        <v>46235</v>
      </c>
      <c r="H26" s="23" t="n">
        <v>46266</v>
      </c>
    </row>
    <row r="27">
      <c r="A27" s="15" t="inlineStr">
        <is>
          <t>Sep 2026</t>
        </is>
      </c>
      <c r="B27" s="16">
        <f>COUNTIFS(Complaints!$B$2:$B$55,"&gt;="&amp;$G27,Complaints!$B$2:$B$55,"&lt;"&amp;$H27)</f>
        <v/>
      </c>
      <c r="C27" s="16">
        <f>COUNTIFS(Complaints!$B$2:$B$55,"&gt;="&amp;$G27,Complaints!$B$2:$B$55,"&lt;"&amp;$H27,Complaints!$C$2:$C$55,"S1")</f>
        <v/>
      </c>
      <c r="D27" s="16">
        <f>COUNTIFS(Complaints!$B$2:$B$55,"&gt;="&amp;$G27,Complaints!$B$2:$B$55,"&lt;"&amp;$H27,Complaints!$C$2:$C$55,"S2")</f>
        <v/>
      </c>
      <c r="E27" s="16">
        <f>COUNTIFS(Complaints!$B$2:$B$55,"&gt;="&amp;$G27,Complaints!$B$2:$B$55,"&lt;"&amp;$H27,Complaints!$C$2:$C$55,"S3")</f>
        <v/>
      </c>
      <c r="F27" s="22">
        <f>IF(COUNTIFS(Complaints!$B$2:$B$55,"&gt;="&amp;$G27,Complaints!$B$2:$B$55,"&lt;"&amp;$H27,Complaints!$P$2:$P$55,"yes")+COUNTIFS(Complaints!$B$2:$B$55,"&gt;="&amp;$G27,Complaints!$B$2:$B$55,"&lt;"&amp;$H27,Complaints!$P$2:$P$55,"no")=0,"",ROUND(COUNTIFS(Complaints!$B$2:$B$55,"&gt;="&amp;$G27,Complaints!$B$2:$B$55,"&lt;"&amp;$H27,Complaints!$P$2:$P$55,"yes")/(COUNTIFS(Complaints!$B$2:$B$55,"&gt;="&amp;$G27,Complaints!$B$2:$B$55,"&lt;"&amp;$H27,Complaints!$P$2:$P$55,"yes")+COUNTIFS(Complaints!$B$2:$B$55,"&gt;="&amp;$G27,Complaints!$B$2:$B$55,"&lt;"&amp;$H27,Complaints!$P$2:$P$55,"no"))*100,0))</f>
        <v/>
      </c>
      <c r="G27" s="23" t="n">
        <v>46266</v>
      </c>
      <c r="H27" s="23" t="n">
        <v>46296</v>
      </c>
    </row>
    <row r="29">
      <c r="A29" s="20" t="inlineStr">
        <is>
          <t>Total</t>
        </is>
      </c>
      <c r="B29" s="16">
        <f>SUM(B16:B27)</f>
        <v/>
      </c>
      <c r="C29" s="16">
        <f>SUM(C16:C27)</f>
        <v/>
      </c>
      <c r="D29" s="16">
        <f>SUM(D16:D27)</f>
        <v/>
      </c>
      <c r="E29" s="16">
        <f>SUM(E16:E27)</f>
        <v/>
      </c>
    </row>
    <row r="31">
      <c r="A31" s="13" t="inlineStr">
        <is>
          <t>By severity</t>
        </is>
      </c>
      <c r="B31" s="21" t="inlineStr">
        <is>
          <t>Count</t>
        </is>
      </c>
      <c r="C31" s="21" t="inlineStr">
        <is>
          <t>Share</t>
        </is>
      </c>
    </row>
    <row r="32">
      <c r="A32" s="15" t="inlineStr">
        <is>
          <t>S1</t>
        </is>
      </c>
      <c r="B32" s="16">
        <f>COUNTIF(Complaints!$C$2:$C$55,$A32)</f>
        <v/>
      </c>
      <c r="C32" s="18">
        <f>IF($B$5=0,"",ROUND(B32/$B$5*100,1))</f>
        <v/>
      </c>
    </row>
    <row r="33">
      <c r="A33" s="15" t="inlineStr">
        <is>
          <t>S2</t>
        </is>
      </c>
      <c r="B33" s="16">
        <f>COUNTIF(Complaints!$C$2:$C$55,$A33)</f>
        <v/>
      </c>
      <c r="C33" s="18">
        <f>IF($B$5=0,"",ROUND(B33/$B$5*100,1))</f>
        <v/>
      </c>
    </row>
    <row r="34">
      <c r="A34" s="15" t="inlineStr">
        <is>
          <t>S3</t>
        </is>
      </c>
      <c r="B34" s="16">
        <f>COUNTIF(Complaints!$C$2:$C$55,$A34)</f>
        <v/>
      </c>
      <c r="C34" s="18">
        <f>IF($B$5=0,"",ROUND(B34/$B$5*100,1))</f>
        <v/>
      </c>
    </row>
    <row r="36">
      <c r="A36" s="13" t="inlineStr">
        <is>
          <t>By status</t>
        </is>
      </c>
      <c r="B36" s="21" t="inlineStr">
        <is>
          <t>Count</t>
        </is>
      </c>
      <c r="C36" s="21" t="inlineStr">
        <is>
          <t>Share</t>
        </is>
      </c>
    </row>
    <row r="37">
      <c r="A37" s="15" t="inlineStr">
        <is>
          <t>open</t>
        </is>
      </c>
      <c r="B37" s="16">
        <f>COUNTIF(Complaints!$E$2:$E$55,$A37)</f>
        <v/>
      </c>
      <c r="C37" s="18">
        <f>IF($B$5=0,"",ROUND(B37/$B$5*100,1))</f>
        <v/>
      </c>
    </row>
    <row r="38">
      <c r="A38" s="15" t="inlineStr">
        <is>
          <t>investigating</t>
        </is>
      </c>
      <c r="B38" s="16">
        <f>COUNTIF(Complaints!$E$2:$E$55,$A38)</f>
        <v/>
      </c>
      <c r="C38" s="18">
        <f>IF($B$5=0,"",ROUND(B38/$B$5*100,1))</f>
        <v/>
      </c>
    </row>
    <row r="39">
      <c r="A39" s="15" t="inlineStr">
        <is>
          <t>resolved</t>
        </is>
      </c>
      <c r="B39" s="16">
        <f>COUNTIF(Complaints!$E$2:$E$55,$A39)</f>
        <v/>
      </c>
      <c r="C39" s="18">
        <f>IF($B$5=0,"",ROUND(B39/$B$5*100,1))</f>
        <v/>
      </c>
    </row>
    <row r="40">
      <c r="A40" s="15" t="inlineStr">
        <is>
          <t>closed</t>
        </is>
      </c>
      <c r="B40" s="16">
        <f>COUNTIF(Complaints!$E$2:$E$55,$A40)</f>
        <v/>
      </c>
      <c r="C40" s="18">
        <f>IF($B$5=0,"",ROUND(B40/$B$5*100,1))</f>
        <v/>
      </c>
    </row>
    <row r="42">
      <c r="A42" s="13" t="inlineStr">
        <is>
          <t>By intake channel</t>
        </is>
      </c>
      <c r="B42" s="21" t="inlineStr">
        <is>
          <t>Count</t>
        </is>
      </c>
      <c r="C42" s="21" t="inlineStr">
        <is>
          <t>Share</t>
        </is>
      </c>
    </row>
    <row r="43">
      <c r="A43" s="15" t="inlineStr">
        <is>
          <t>in_person</t>
        </is>
      </c>
      <c r="B43" s="16">
        <f>COUNTIF(Complaints!$F$2:$F$55,$A43)</f>
        <v/>
      </c>
      <c r="C43" s="18">
        <f>IF($B$5=0,"",ROUND(B43/$B$5*100,1))</f>
        <v/>
      </c>
    </row>
    <row r="44">
      <c r="A44" s="15" t="inlineStr">
        <is>
          <t>phone</t>
        </is>
      </c>
      <c r="B44" s="16">
        <f>COUNTIF(Complaints!$F$2:$F$55,$A44)</f>
        <v/>
      </c>
      <c r="C44" s="18">
        <f>IF($B$5=0,"",ROUND(B44/$B$5*100,1))</f>
        <v/>
      </c>
    </row>
    <row r="45">
      <c r="A45" s="15" t="inlineStr">
        <is>
          <t>email</t>
        </is>
      </c>
      <c r="B45" s="16">
        <f>COUNTIF(Complaints!$F$2:$F$55,$A45)</f>
        <v/>
      </c>
      <c r="C45" s="18">
        <f>IF($B$5=0,"",ROUND(B45/$B$5*100,1))</f>
        <v/>
      </c>
    </row>
    <row r="46">
      <c r="A46" s="15" t="inlineStr">
        <is>
          <t>whatsapp</t>
        </is>
      </c>
      <c r="B46" s="16">
        <f>COUNTIF(Complaints!$F$2:$F$55,$A46)</f>
        <v/>
      </c>
      <c r="C46" s="18">
        <f>IF($B$5=0,"",ROUND(B46/$B$5*100,1))</f>
        <v/>
      </c>
    </row>
    <row r="47">
      <c r="A47" s="15" t="inlineStr">
        <is>
          <t>portal</t>
        </is>
      </c>
      <c r="B47" s="16">
        <f>COUNTIF(Complaints!$F$2:$F$55,$A47)</f>
        <v/>
      </c>
      <c r="C47" s="18">
        <f>IF($B$5=0,"",ROUND(B47/$B$5*100,1))</f>
        <v/>
      </c>
    </row>
    <row r="48">
      <c r="A48" s="15" t="inlineStr">
        <is>
          <t>letter</t>
        </is>
      </c>
      <c r="B48" s="16">
        <f>COUNTIF(Complaints!$F$2:$F$55,$A48)</f>
        <v/>
      </c>
      <c r="C48" s="18">
        <f>IF($B$5=0,"",ROUND(B48/$B$5*100,1))</f>
        <v/>
      </c>
    </row>
    <row r="50">
      <c r="A50" s="13" t="inlineStr">
        <is>
          <t>By outcome</t>
        </is>
      </c>
      <c r="B50" s="21" t="inlineStr">
        <is>
          <t>Count</t>
        </is>
      </c>
      <c r="C50" s="21" t="inlineStr">
        <is>
          <t>Share</t>
        </is>
      </c>
    </row>
    <row r="51">
      <c r="A51" s="15" t="inlineStr">
        <is>
          <t>pending</t>
        </is>
      </c>
      <c r="B51" s="16">
        <f>COUNTIF(Complaints!$Q$2:$Q$55,$A51)</f>
        <v/>
      </c>
      <c r="C51" s="18">
        <f>IF($B$5=0,"",ROUND(B51/$B$5*100,1))</f>
        <v/>
      </c>
    </row>
    <row r="52">
      <c r="A52" s="15" t="inlineStr">
        <is>
          <t>refund_due</t>
        </is>
      </c>
      <c r="B52" s="16">
        <f>COUNTIF(Complaints!$Q$2:$Q$55,$A52)</f>
        <v/>
      </c>
      <c r="C52" s="18">
        <f>IF($B$5=0,"",ROUND(B52/$B$5*100,1))</f>
        <v/>
      </c>
    </row>
    <row r="53">
      <c r="A53" s="15" t="inlineStr">
        <is>
          <t>partial_refund</t>
        </is>
      </c>
      <c r="B53" s="16">
        <f>COUNTIF(Complaints!$Q$2:$Q$55,$A53)</f>
        <v/>
      </c>
      <c r="C53" s="18">
        <f>IF($B$5=0,"",ROUND(B53/$B$5*100,1))</f>
        <v/>
      </c>
    </row>
    <row r="54">
      <c r="A54" s="15" t="inlineStr">
        <is>
          <t>charge_correct</t>
        </is>
      </c>
      <c r="B54" s="16">
        <f>COUNTIF(Complaints!$Q$2:$Q$55,$A54)</f>
        <v/>
      </c>
      <c r="C54" s="18">
        <f>IF($B$5=0,"",ROUND(B54/$B$5*100,1))</f>
        <v/>
      </c>
    </row>
    <row r="55">
      <c r="A55" s="15" t="inlineStr">
        <is>
          <t>goodwill</t>
        </is>
      </c>
      <c r="B55" s="16">
        <f>COUNTIF(Complaints!$Q$2:$Q$55,$A55)</f>
        <v/>
      </c>
      <c r="C55" s="18">
        <f>IF($B$5=0,"",ROUND(B55/$B$5*100,1))</f>
        <v/>
      </c>
    </row>
    <row r="57">
      <c r="A57" s="13" t="inlineStr">
        <is>
          <t>By root cause category</t>
        </is>
      </c>
      <c r="B57" s="21" t="inlineStr">
        <is>
          <t>Count</t>
        </is>
      </c>
      <c r="C57" s="21" t="inlineStr">
        <is>
          <t>Share</t>
        </is>
      </c>
    </row>
    <row r="58">
      <c r="A58" s="15" t="inlineStr">
        <is>
          <t>method</t>
        </is>
      </c>
      <c r="B58" s="16">
        <f>COUNTIF(Complaints!$T$2:$T$55,$A58)</f>
        <v/>
      </c>
      <c r="C58" s="18">
        <f>IF($B$5=0,"",ROUND(B58/$B$5*100,1))</f>
        <v/>
      </c>
    </row>
    <row r="59">
      <c r="A59" s="15" t="inlineStr">
        <is>
          <t>machine</t>
        </is>
      </c>
      <c r="B59" s="16">
        <f>COUNTIF(Complaints!$T$2:$T$55,$A59)</f>
        <v/>
      </c>
      <c r="C59" s="18">
        <f>IF($B$5=0,"",ROUND(B59/$B$5*100,1))</f>
        <v/>
      </c>
    </row>
    <row r="60">
      <c r="A60" s="15" t="inlineStr">
        <is>
          <t>material</t>
        </is>
      </c>
      <c r="B60" s="16">
        <f>COUNTIF(Complaints!$T$2:$T$55,$A60)</f>
        <v/>
      </c>
      <c r="C60" s="18">
        <f>IF($B$5=0,"",ROUND(B60/$B$5*100,1))</f>
        <v/>
      </c>
    </row>
    <row r="61">
      <c r="A61" s="15" t="inlineStr">
        <is>
          <t>manpower</t>
        </is>
      </c>
      <c r="B61" s="16">
        <f>COUNTIF(Complaints!$T$2:$T$55,$A61)</f>
        <v/>
      </c>
      <c r="C61" s="18">
        <f>IF($B$5=0,"",ROUND(B61/$B$5*100,1))</f>
        <v/>
      </c>
    </row>
    <row r="62">
      <c r="A62" s="15" t="inlineStr">
        <is>
          <t>measurement</t>
        </is>
      </c>
      <c r="B62" s="16">
        <f>COUNTIF(Complaints!$T$2:$T$55,$A62)</f>
        <v/>
      </c>
      <c r="C62" s="18">
        <f>IF($B$5=0,"",ROUND(B62/$B$5*100,1))</f>
        <v/>
      </c>
    </row>
    <row r="63">
      <c r="A63" s="15" t="inlineStr">
        <is>
          <t>environment</t>
        </is>
      </c>
      <c r="B63" s="16">
        <f>COUNTIF(Complaints!$T$2:$T$55,$A63)</f>
        <v/>
      </c>
      <c r="C63" s="18">
        <f>IF($B$5=0,"",ROUND(B63/$B$5*100,1))</f>
        <v/>
      </c>
    </row>
    <row r="65">
      <c r="A65" s="24" t="inlineStr">
        <is>
          <t>Every figure is a formula over the Complaints sheet — filter or edit a row there and these update when the workbook recalculates.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25" t="inlineStr">
        <is>
          <t>Pioneer Car Service Center — complaints, October 2025 to September 2026</t>
        </is>
      </c>
    </row>
    <row r="2">
      <c r="A2" s="26" t="inlineStr"/>
    </row>
    <row r="3">
      <c r="A3" s="27" t="inlineStr">
        <is>
          <t>What this is</t>
        </is>
      </c>
    </row>
    <row r="4" ht="60" customHeight="1">
      <c r="A4" s="26" t="inlineStr">
        <is>
          <t>All 54 complaint records held for the workshop across the rolling twelve months, exported from the disputes table that the Complaints page and the Customer Experience dashboard read live. Columns follow the severity workflow: severity, target date, acknowledgement, outcome, root cause, corrective action and customer confirmation.</t>
        </is>
      </c>
    </row>
    <row r="5">
      <c r="A5" s="26" t="inlineStr"/>
    </row>
    <row r="6">
      <c r="A6" s="28" t="inlineStr">
        <is>
          <t>This is generated demonstration data, not real complaints</t>
        </is>
      </c>
    </row>
    <row r="7" ht="75" customHeight="1">
      <c r="A7" s="26" t="inlineStr">
        <is>
          <t>The cases, amounts and narratives were generated to give the dashboards a believable year of history. They are not real customer complaints and must not be reported as the workshop's actual complaint record. The customer names attached to them ARE real customers from the system, because the seed links to existing records so the joins work — so a case here pairs a real name with an invented complaint. Treat any individual row as fiction.</t>
        </is>
      </c>
    </row>
    <row r="8">
      <c r="A8" s="26" t="inlineStr"/>
    </row>
    <row r="9">
      <c r="A9" s="27" t="inlineStr">
        <is>
          <t>The volume taper is deliberate</t>
        </is>
      </c>
    </row>
    <row r="10" ht="45" customHeight="1">
      <c r="A10" s="26" t="inlineStr">
        <is>
          <t>Roughly one complaint a month a year ago rising to nine last month. That reflects a CX programme that logged almost nothing at the start and now captures most of what comes in. Read as a quality trend it says the opposite of what it means.</t>
        </is>
      </c>
    </row>
    <row r="11">
      <c r="A11" s="26" t="inlineStr"/>
    </row>
    <row r="12">
      <c r="A12" s="27" t="inlineStr">
        <is>
          <t>September 2026 is incomplete</t>
        </is>
      </c>
    </row>
    <row r="13" ht="30" customHeight="1">
      <c r="A13" s="26" t="inlineStr">
        <is>
          <t>The month was still running when this was exported, so its count is lower than a finished month and should not be compared with the eleven before it.</t>
        </is>
      </c>
    </row>
    <row r="14">
      <c r="A14" s="26" t="inlineStr"/>
    </row>
    <row r="15">
      <c r="A15" s="27" t="inlineStr">
        <is>
          <t>How the targets work</t>
        </is>
      </c>
    </row>
    <row r="16" ht="60" customHeight="1">
      <c r="A16" s="26" t="inlineStr">
        <is>
          <t>Each case gets a response target from its severity — S1 two working days, S2 five, S3 three — computed on creation, skipping Fridays. Within target compares the resolved date against that case's own target. Cases still open count as neither met nor missed, so the compliance rate is a share of decided cases.</t>
        </is>
      </c>
    </row>
    <row r="17">
      <c r="A17" s="26" t="inlineStr"/>
    </row>
    <row r="18">
      <c r="A18" s="27" t="inlineStr">
        <is>
          <t>Regenerating it</t>
        </is>
      </c>
    </row>
    <row r="19">
      <c r="A19" s="29" t="inlineStr">
        <is>
          <t>node scripts/seed-complaints.js --clean</t>
        </is>
      </c>
    </row>
    <row r="20">
      <c r="A20" s="29" t="inlineStr">
        <is>
          <t>node scripts/seed-complaints.js</t>
        </is>
      </c>
    </row>
    <row r="21" ht="30" customHeight="1">
      <c r="A21" s="26" t="inlineStr">
        <is>
          <t>--clean removes exactly the rows the previous run created, tracked in scripts/data/.seed-complaints-ids.json. Rows from a run whose tracking file was lost cannot be cleaned automatically.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2026-09-09T15:17:51Z</dcterms:created>
  <dcterms:modified xmlns:dcterms="http://purl.org/dc/terms/" xmlns:xsi="http://www.w3.org/2001/XMLSchema-instance" xsi:type="dcterms:W3CDTF">2026-09-09T15:17:51Z</dcterms:modified>
</cp:coreProperties>
</file>