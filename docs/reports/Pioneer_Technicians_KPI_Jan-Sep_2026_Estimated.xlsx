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an-2026" sheetId="2" state="visible" r:id="rId2"/>
    <sheet xmlns:r="http://schemas.openxmlformats.org/officeDocument/2006/relationships" name="Feb-2026" sheetId="3" state="visible" r:id="rId3"/>
    <sheet xmlns:r="http://schemas.openxmlformats.org/officeDocument/2006/relationships" name="Mar-2026" sheetId="4" state="visible" r:id="rId4"/>
    <sheet xmlns:r="http://schemas.openxmlformats.org/officeDocument/2006/relationships" name="Apr-2026" sheetId="5" state="visible" r:id="rId5"/>
    <sheet xmlns:r="http://schemas.openxmlformats.org/officeDocument/2006/relationships" name="May-2026" sheetId="6" state="visible" r:id="rId6"/>
    <sheet xmlns:r="http://schemas.openxmlformats.org/officeDocument/2006/relationships" name="Jun-2026" sheetId="7" state="visible" r:id="rId7"/>
    <sheet xmlns:r="http://schemas.openxmlformats.org/officeDocument/2006/relationships" name="Jul-2026" sheetId="8" state="visible" r:id="rId8"/>
    <sheet xmlns:r="http://schemas.openxmlformats.org/officeDocument/2006/relationships" name="Aug-2026" sheetId="9" state="visible" r:id="rId9"/>
    <sheet xmlns:r="http://schemas.openxmlformats.org/officeDocument/2006/relationships" name="Sep-2026 MTD" sheetId="10" state="visible" r:id="rId10"/>
    <sheet xmlns:r="http://schemas.openxmlformats.org/officeDocument/2006/relationships" name="Assumptions" sheetId="11" state="visible" r:id="rId11"/>
  </sheets>
  <definedNames>
    <definedName name="_xlnm._FilterDatabase" localSheetId="1" hidden="1">'Jan-2026'!$A$5:$Q$88</definedName>
    <definedName name="_xlnm.Print_Titles" localSheetId="1">'Jan-2026'!$1:$5</definedName>
    <definedName name="_xlnm._FilterDatabase" localSheetId="2" hidden="1">'Feb-2026'!$A$5:$Q$88</definedName>
    <definedName name="_xlnm.Print_Titles" localSheetId="2">'Feb-2026'!$1:$5</definedName>
    <definedName name="_xlnm._FilterDatabase" localSheetId="3" hidden="1">'Mar-2026'!$A$5:$Q$88</definedName>
    <definedName name="_xlnm.Print_Titles" localSheetId="3">'Mar-2026'!$1:$5</definedName>
    <definedName name="_xlnm._FilterDatabase" localSheetId="4" hidden="1">'Apr-2026'!$A$5:$Q$88</definedName>
    <definedName name="_xlnm.Print_Titles" localSheetId="4">'Apr-2026'!$1:$5</definedName>
    <definedName name="_xlnm._FilterDatabase" localSheetId="5" hidden="1">'May-2026'!$A$5:$Q$88</definedName>
    <definedName name="_xlnm.Print_Titles" localSheetId="5">'May-2026'!$1:$5</definedName>
    <definedName name="_xlnm._FilterDatabase" localSheetId="6" hidden="1">'Jun-2026'!$A$5:$Q$88</definedName>
    <definedName name="_xlnm.Print_Titles" localSheetId="6">'Jun-2026'!$1:$5</definedName>
    <definedName name="_xlnm._FilterDatabase" localSheetId="7" hidden="1">'Jul-2026'!$A$5:$Q$88</definedName>
    <definedName name="_xlnm.Print_Titles" localSheetId="7">'Jul-2026'!$1:$5</definedName>
    <definedName name="_xlnm._FilterDatabase" localSheetId="8" hidden="1">'Aug-2026'!$A$5:$Q$88</definedName>
    <definedName name="_xlnm.Print_Titles" localSheetId="8">'Aug-2026'!$1:$5</definedName>
    <definedName name="_xlnm._FilterDatabase" localSheetId="9" hidden="1">'Sep-2026 MTD'!$A$5:$Q$88</definedName>
    <definedName name="_xlnm.Print_Titles" localSheetId="9">'Sep-2026 MTD'!$1:$5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b val="1"/>
      <color rgb="0017365D"/>
      <sz val="18"/>
    </font>
    <font>
      <b val="1"/>
      <color rgb="00C65911"/>
    </font>
    <font>
      <i val="1"/>
      <color rgb="00C65911"/>
    </font>
    <font>
      <b val="1"/>
      <color rgb="00FFFFFF"/>
    </font>
    <font>
      <b val="1"/>
      <color rgb="0017365D"/>
      <sz val="16"/>
    </font>
    <font>
      <b val="1"/>
    </font>
    <font>
      <b val="1"/>
      <color rgb="0017365D"/>
      <sz val="10"/>
    </font>
    <font>
      <color rgb="000000FF"/>
    </font>
    <font>
      <color rgb="00000000"/>
    </font>
    <font>
      <b val="1"/>
      <color rgb="0017365D"/>
    </font>
    <font>
      <b val="1"/>
      <color rgb="00006100"/>
    </font>
    <font>
      <color rgb="000061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top style="medium">
        <color rgb="0017365D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right" vertical="center"/>
    </xf>
    <xf numFmtId="2" fontId="8" fillId="0" borderId="0" applyAlignment="1" pivotButton="0" quotePrefix="0" xfId="0">
      <alignment horizontal="right" vertical="center"/>
    </xf>
    <xf numFmtId="9" fontId="9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0" fontId="0" fillId="0" borderId="2" pivotButton="0" quotePrefix="0" xfId="0"/>
    <xf numFmtId="0" fontId="10" fillId="0" borderId="2" pivotButton="0" quotePrefix="0" xfId="0"/>
    <xf numFmtId="0" fontId="6" fillId="0" borderId="2" pivotButton="0" quotePrefix="0" xfId="0"/>
    <xf numFmtId="164" fontId="6" fillId="0" borderId="2" pivotButton="0" quotePrefix="0" xfId="0"/>
    <xf numFmtId="4" fontId="6" fillId="0" borderId="2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2" fontId="13" fillId="0" borderId="0" applyAlignment="1" pivotButton="0" quotePrefix="0" xfId="0">
      <alignment horizontal="right" vertical="center"/>
    </xf>
    <xf numFmtId="9" fontId="13" fillId="0" borderId="0" applyAlignment="1" pivotButton="0" quotePrefix="0" xfId="0">
      <alignment horizontal="right" vertical="center"/>
    </xf>
    <xf numFmtId="4" fontId="1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Productivity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'Summary'!E6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'Summary'!$A$7:$A$15</f>
            </numRef>
          </cat>
          <val>
            <numRef>
              <f>'Summary'!$E$7:$E$15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Productivity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E5" authorId="0" shapeId="0">
      <text>
        <t>Simulated input for this month, generated from the Jul-2026 baseline supplied by the user.</t>
      </text>
    </comment>
    <comment ref="G5" authorId="0" shapeId="0">
      <text>
        <t>Simulated input for this month, generated from the Jul-2026 baseline supplied by the user.</t>
      </text>
    </comment>
    <comment ref="I5" authorId="0" shapeId="0">
      <text>
        <t>Simulated input for this month, generated from the Jul-2026 baseline supplied by the user.</t>
      </text>
    </comment>
    <comment ref="L5" authorId="0" shapeId="0">
      <text>
        <t>Simulated input for this month, generated from the Jul-2026 baseline supplied by the user.</t>
      </text>
    </comment>
    <comment ref="M5" authorId="0" shapeId="0">
      <text>
        <t>Simulated input for this month, generated from the Jul-2026 baseline supplied by the user.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E5" authorId="0" shapeId="0">
      <text>
        <t>Simulated input for this month, generated from the Jul-2026 baseline supplied by the user.</t>
      </text>
    </comment>
    <comment ref="G5" authorId="0" shapeId="0">
      <text>
        <t>Simulated input for this month, generated from the Jul-2026 baseline supplied by the user.</t>
      </text>
    </comment>
    <comment ref="I5" authorId="0" shapeId="0">
      <text>
        <t>Simulated input for this month, generated from the Jul-2026 baseline supplied by the user.</t>
      </text>
    </comment>
    <comment ref="L5" authorId="0" shapeId="0">
      <text>
        <t>Simulated input for this month, generated from the Jul-2026 baseline supplied by the user.</t>
      </text>
    </comment>
    <comment ref="M5" authorId="0" shapeId="0">
      <text>
        <t>Simulated input for this month, generated from the Jul-2026 baseline supplied by the user.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E5" authorId="0" shapeId="0">
      <text>
        <t>Simulated input for this month, generated from the Jul-2026 baseline supplied by the user.</t>
      </text>
    </comment>
    <comment ref="G5" authorId="0" shapeId="0">
      <text>
        <t>Simulated input for this month, generated from the Jul-2026 baseline supplied by the user.</t>
      </text>
    </comment>
    <comment ref="I5" authorId="0" shapeId="0">
      <text>
        <t>Simulated input for this month, generated from the Jul-2026 baseline supplied by the user.</t>
      </text>
    </comment>
    <comment ref="L5" authorId="0" shapeId="0">
      <text>
        <t>Simulated input for this month, generated from the Jul-2026 baseline supplied by the user.</t>
      </text>
    </comment>
    <comment ref="M5" authorId="0" shapeId="0">
      <text>
        <t>Simulated input for this month, generated from the Jul-2026 baseline supplied by the user.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E5" authorId="0" shapeId="0">
      <text>
        <t>Simulated input for this month, generated from the Jul-2026 baseline supplied by the user.</t>
      </text>
    </comment>
    <comment ref="G5" authorId="0" shapeId="0">
      <text>
        <t>Simulated input for this month, generated from the Jul-2026 baseline supplied by the user.</t>
      </text>
    </comment>
    <comment ref="I5" authorId="0" shapeId="0">
      <text>
        <t>Simulated input for this month, generated from the Jul-2026 baseline supplied by the user.</t>
      </text>
    </comment>
    <comment ref="L5" authorId="0" shapeId="0">
      <text>
        <t>Simulated input for this month, generated from the Jul-2026 baseline supplied by the user.</t>
      </text>
    </comment>
    <comment ref="M5" authorId="0" shapeId="0">
      <text>
        <t>Simulated input for this month, generated from the Jul-2026 baseline supplied by the user.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E5" authorId="0" shapeId="0">
      <text>
        <t>Simulated input for this month, generated from the Jul-2026 baseline supplied by the user.</t>
      </text>
    </comment>
    <comment ref="G5" authorId="0" shapeId="0">
      <text>
        <t>Simulated input for this month, generated from the Jul-2026 baseline supplied by the user.</t>
      </text>
    </comment>
    <comment ref="I5" authorId="0" shapeId="0">
      <text>
        <t>Simulated input for this month, generated from the Jul-2026 baseline supplied by the user.</t>
      </text>
    </comment>
    <comment ref="L5" authorId="0" shapeId="0">
      <text>
        <t>Simulated input for this month, generated from the Jul-2026 baseline supplied by the user.</t>
      </text>
    </comment>
    <comment ref="M5" authorId="0" shapeId="0">
      <text>
        <t>Simulated input for this month, generated from the Jul-2026 baseline supplied by the user.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E5" authorId="0" shapeId="0">
      <text>
        <t>Simulated input for this month, generated from the Jul-2026 baseline supplied by the user.</t>
      </text>
    </comment>
    <comment ref="G5" authorId="0" shapeId="0">
      <text>
        <t>Simulated input for this month, generated from the Jul-2026 baseline supplied by the user.</t>
      </text>
    </comment>
    <comment ref="I5" authorId="0" shapeId="0">
      <text>
        <t>Simulated input for this month, generated from the Jul-2026 baseline supplied by the user.</t>
      </text>
    </comment>
    <comment ref="L5" authorId="0" shapeId="0">
      <text>
        <t>Simulated input for this month, generated from the Jul-2026 baseline supplied by the user.</t>
      </text>
    </comment>
    <comment ref="M5" authorId="0" shapeId="0">
      <text>
        <t>Simulated input for this month, generated from the Jul-2026 baseline supplied by the user.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E5" authorId="0" shapeId="0">
      <text>
        <t>Simulated input for this month, generated from the Jul-2026 baseline supplied by the user.</t>
      </text>
    </comment>
    <comment ref="G5" authorId="0" shapeId="0">
      <text>
        <t>Simulated input for this month, generated from the Jul-2026 baseline supplied by the user.</t>
      </text>
    </comment>
    <comment ref="I5" authorId="0" shapeId="0">
      <text>
        <t>Simulated input for this month, generated from the Jul-2026 baseline supplied by the user.</t>
      </text>
    </comment>
    <comment ref="L5" authorId="0" shapeId="0">
      <text>
        <t>Simulated input for this month, generated from the Jul-2026 baseline supplied by the user.</t>
      </text>
    </comment>
    <comment ref="M5" authorId="0" shapeId="0">
      <text>
        <t>Simulated input for this month, generated from the Jul-2026 baseline supplied by the user.</t>
      </text>
    </comment>
  </commentList>
</comments>
</file>

<file path=xl/comments/comment8.xml><?xml version="1.0" encoding="utf-8"?>
<comments xmlns="http://schemas.openxmlformats.org/spreadsheetml/2006/main">
  <authors>
    <author>OpenAI</author>
  </authors>
  <commentList>
    <comment ref="E5" authorId="0" shapeId="0">
      <text>
        <t>Simulated input for this month, generated from the Jul-2026 baseline supplied by the user.</t>
      </text>
    </comment>
    <comment ref="G5" authorId="0" shapeId="0">
      <text>
        <t>Simulated input for this month, generated from the Jul-2026 baseline supplied by the user.</t>
      </text>
    </comment>
    <comment ref="I5" authorId="0" shapeId="0">
      <text>
        <t>Simulated input for this month, generated from the Jul-2026 baseline supplied by the user.</t>
      </text>
    </comment>
    <comment ref="L5" authorId="0" shapeId="0">
      <text>
        <t>Simulated input for this month, generated from the Jul-2026 baseline supplied by the user.</t>
      </text>
    </comment>
    <comment ref="M5" authorId="0" shapeId="0">
      <text>
        <t>Simulated input for this month, generated from the Jul-2026 baseline supplied by the user.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8" customWidth="1" min="4" max="4"/>
    <col width="16" customWidth="1" min="5" max="5"/>
    <col width="14" customWidth="1" min="6" max="6"/>
    <col width="2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Pioneer Car Service Center - Technicians KPI History</t>
        </is>
      </c>
    </row>
    <row r="3">
      <c r="A3" s="2" t="inlineStr">
        <is>
          <t>Important:</t>
        </is>
      </c>
      <c r="B3" s="3" t="inlineStr">
        <is>
          <t>Jan-Jun, Aug and Sep-2026 are SIMULATED / ESTIMATED data generated around the Jul-2026 baseline supplied by the user. Jul-2026 is transcribed from the provided report image.</t>
        </is>
      </c>
    </row>
    <row r="4"/>
    <row r="6">
      <c r="A6" s="4" t="inlineStr">
        <is>
          <t>Month</t>
        </is>
      </c>
      <c r="B6" s="4" t="inlineStr">
        <is>
          <t>Technicians</t>
        </is>
      </c>
      <c r="C6" s="4" t="inlineStr">
        <is>
          <t>Total Available Hrs</t>
        </is>
      </c>
      <c r="D6" s="4" t="inlineStr">
        <is>
          <t>Total Worked Hrs</t>
        </is>
      </c>
      <c r="E6" s="4" t="inlineStr">
        <is>
          <t>Avg Productivity</t>
        </is>
      </c>
      <c r="F6" s="4" t="inlineStr">
        <is>
          <t>Avg Idle</t>
        </is>
      </c>
      <c r="G6" s="4" t="inlineStr">
        <is>
          <t>Total Billed Value (AED)</t>
        </is>
      </c>
      <c r="H6" s="4" t="inlineStr">
        <is>
          <t>Avg U%</t>
        </is>
      </c>
      <c r="I6" s="4" t="inlineStr">
        <is>
          <t>Avg P%</t>
        </is>
      </c>
      <c r="J6" s="4" t="inlineStr">
        <is>
          <t>Avg E%</t>
        </is>
      </c>
    </row>
    <row r="7">
      <c r="A7" s="5" t="inlineStr">
        <is>
          <t>Jan-2026</t>
        </is>
      </c>
      <c r="B7" s="6">
        <f>COUNTA('Jan-2026'!B6:B88)</f>
        <v/>
      </c>
      <c r="C7" s="7">
        <f>SUM('Jan-2026'!F6:F88)</f>
        <v/>
      </c>
      <c r="D7" s="7">
        <f>SUM('Jan-2026'!I6:I88)</f>
        <v/>
      </c>
      <c r="E7" s="8">
        <f>AVERAGE('Jan-2026'!J6:J88)</f>
        <v/>
      </c>
      <c r="F7" s="8">
        <f>AVERAGE('Jan-2026'!K6:K88)</f>
        <v/>
      </c>
      <c r="G7" s="7">
        <f>SUM('Jan-2026'!L6:L88)</f>
        <v/>
      </c>
      <c r="H7" s="8">
        <f>AVERAGE('Jan-2026'!O6:O88)</f>
        <v/>
      </c>
      <c r="I7" s="8">
        <f>AVERAGE('Jan-2026'!P6:P88)</f>
        <v/>
      </c>
      <c r="J7" s="8">
        <f>AVERAGE('Jan-2026'!Q6:Q88)</f>
        <v/>
      </c>
    </row>
    <row r="8">
      <c r="A8" s="5" t="inlineStr">
        <is>
          <t>Feb-2026</t>
        </is>
      </c>
      <c r="B8" s="6">
        <f>COUNTA('Feb-2026'!B6:B88)</f>
        <v/>
      </c>
      <c r="C8" s="7">
        <f>SUM('Feb-2026'!F6:F88)</f>
        <v/>
      </c>
      <c r="D8" s="7">
        <f>SUM('Feb-2026'!I6:I88)</f>
        <v/>
      </c>
      <c r="E8" s="8">
        <f>AVERAGE('Feb-2026'!J6:J88)</f>
        <v/>
      </c>
      <c r="F8" s="8">
        <f>AVERAGE('Feb-2026'!K6:K88)</f>
        <v/>
      </c>
      <c r="G8" s="7">
        <f>SUM('Feb-2026'!L6:L88)</f>
        <v/>
      </c>
      <c r="H8" s="8">
        <f>AVERAGE('Feb-2026'!O6:O88)</f>
        <v/>
      </c>
      <c r="I8" s="8">
        <f>AVERAGE('Feb-2026'!P6:P88)</f>
        <v/>
      </c>
      <c r="J8" s="8">
        <f>AVERAGE('Feb-2026'!Q6:Q88)</f>
        <v/>
      </c>
    </row>
    <row r="9">
      <c r="A9" s="5" t="inlineStr">
        <is>
          <t>Mar-2026</t>
        </is>
      </c>
      <c r="B9" s="6">
        <f>COUNTA('Mar-2026'!B6:B88)</f>
        <v/>
      </c>
      <c r="C9" s="7">
        <f>SUM('Mar-2026'!F6:F88)</f>
        <v/>
      </c>
      <c r="D9" s="7">
        <f>SUM('Mar-2026'!I6:I88)</f>
        <v/>
      </c>
      <c r="E9" s="8">
        <f>AVERAGE('Mar-2026'!J6:J88)</f>
        <v/>
      </c>
      <c r="F9" s="8">
        <f>AVERAGE('Mar-2026'!K6:K88)</f>
        <v/>
      </c>
      <c r="G9" s="7">
        <f>SUM('Mar-2026'!L6:L88)</f>
        <v/>
      </c>
      <c r="H9" s="8">
        <f>AVERAGE('Mar-2026'!O6:O88)</f>
        <v/>
      </c>
      <c r="I9" s="8">
        <f>AVERAGE('Mar-2026'!P6:P88)</f>
        <v/>
      </c>
      <c r="J9" s="8">
        <f>AVERAGE('Mar-2026'!Q6:Q88)</f>
        <v/>
      </c>
    </row>
    <row r="10">
      <c r="A10" s="5" t="inlineStr">
        <is>
          <t>Apr-2026</t>
        </is>
      </c>
      <c r="B10" s="6">
        <f>COUNTA('Apr-2026'!B6:B88)</f>
        <v/>
      </c>
      <c r="C10" s="7">
        <f>SUM('Apr-2026'!F6:F88)</f>
        <v/>
      </c>
      <c r="D10" s="7">
        <f>SUM('Apr-2026'!I6:I88)</f>
        <v/>
      </c>
      <c r="E10" s="8">
        <f>AVERAGE('Apr-2026'!J6:J88)</f>
        <v/>
      </c>
      <c r="F10" s="8">
        <f>AVERAGE('Apr-2026'!K6:K88)</f>
        <v/>
      </c>
      <c r="G10" s="7">
        <f>SUM('Apr-2026'!L6:L88)</f>
        <v/>
      </c>
      <c r="H10" s="8">
        <f>AVERAGE('Apr-2026'!O6:O88)</f>
        <v/>
      </c>
      <c r="I10" s="8">
        <f>AVERAGE('Apr-2026'!P6:P88)</f>
        <v/>
      </c>
      <c r="J10" s="8">
        <f>AVERAGE('Apr-2026'!Q6:Q88)</f>
        <v/>
      </c>
    </row>
    <row r="11">
      <c r="A11" s="5" t="inlineStr">
        <is>
          <t>May-2026</t>
        </is>
      </c>
      <c r="B11" s="6">
        <f>COUNTA('May-2026'!B6:B88)</f>
        <v/>
      </c>
      <c r="C11" s="7">
        <f>SUM('May-2026'!F6:F88)</f>
        <v/>
      </c>
      <c r="D11" s="7">
        <f>SUM('May-2026'!I6:I88)</f>
        <v/>
      </c>
      <c r="E11" s="8">
        <f>AVERAGE('May-2026'!J6:J88)</f>
        <v/>
      </c>
      <c r="F11" s="8">
        <f>AVERAGE('May-2026'!K6:K88)</f>
        <v/>
      </c>
      <c r="G11" s="7">
        <f>SUM('May-2026'!L6:L88)</f>
        <v/>
      </c>
      <c r="H11" s="8">
        <f>AVERAGE('May-2026'!O6:O88)</f>
        <v/>
      </c>
      <c r="I11" s="8">
        <f>AVERAGE('May-2026'!P6:P88)</f>
        <v/>
      </c>
      <c r="J11" s="8">
        <f>AVERAGE('May-2026'!Q6:Q88)</f>
        <v/>
      </c>
    </row>
    <row r="12">
      <c r="A12" s="5" t="inlineStr">
        <is>
          <t>Jun-2026</t>
        </is>
      </c>
      <c r="B12" s="6">
        <f>COUNTA('Jun-2026'!B6:B88)</f>
        <v/>
      </c>
      <c r="C12" s="7">
        <f>SUM('Jun-2026'!F6:F88)</f>
        <v/>
      </c>
      <c r="D12" s="7">
        <f>SUM('Jun-2026'!I6:I88)</f>
        <v/>
      </c>
      <c r="E12" s="8">
        <f>AVERAGE('Jun-2026'!J6:J88)</f>
        <v/>
      </c>
      <c r="F12" s="8">
        <f>AVERAGE('Jun-2026'!K6:K88)</f>
        <v/>
      </c>
      <c r="G12" s="7">
        <f>SUM('Jun-2026'!L6:L88)</f>
        <v/>
      </c>
      <c r="H12" s="8">
        <f>AVERAGE('Jun-2026'!O6:O88)</f>
        <v/>
      </c>
      <c r="I12" s="8">
        <f>AVERAGE('Jun-2026'!P6:P88)</f>
        <v/>
      </c>
      <c r="J12" s="8">
        <f>AVERAGE('Jun-2026'!Q6:Q88)</f>
        <v/>
      </c>
    </row>
    <row r="13">
      <c r="A13" s="5" t="inlineStr">
        <is>
          <t>Jul-2026</t>
        </is>
      </c>
      <c r="B13" s="6">
        <f>COUNTA('Jul-2026'!B6:B88)</f>
        <v/>
      </c>
      <c r="C13" s="7">
        <f>SUM('Jul-2026'!F6:F88)</f>
        <v/>
      </c>
      <c r="D13" s="7">
        <f>SUM('Jul-2026'!I6:I88)</f>
        <v/>
      </c>
      <c r="E13" s="8">
        <f>AVERAGE('Jul-2026'!J6:J88)</f>
        <v/>
      </c>
      <c r="F13" s="8">
        <f>AVERAGE('Jul-2026'!K6:K88)</f>
        <v/>
      </c>
      <c r="G13" s="7">
        <f>SUM('Jul-2026'!L6:L88)</f>
        <v/>
      </c>
      <c r="H13" s="8">
        <f>AVERAGE('Jul-2026'!O6:O88)</f>
        <v/>
      </c>
      <c r="I13" s="8">
        <f>AVERAGE('Jul-2026'!P6:P88)</f>
        <v/>
      </c>
      <c r="J13" s="8">
        <f>AVERAGE('Jul-2026'!Q6:Q88)</f>
        <v/>
      </c>
    </row>
    <row r="14">
      <c r="A14" s="5" t="inlineStr">
        <is>
          <t>Aug-2026</t>
        </is>
      </c>
      <c r="B14" s="6">
        <f>COUNTA('Aug-2026'!B6:B88)</f>
        <v/>
      </c>
      <c r="C14" s="7">
        <f>SUM('Aug-2026'!F6:F88)</f>
        <v/>
      </c>
      <c r="D14" s="7">
        <f>SUM('Aug-2026'!I6:I88)</f>
        <v/>
      </c>
      <c r="E14" s="8">
        <f>AVERAGE('Aug-2026'!J6:J88)</f>
        <v/>
      </c>
      <c r="F14" s="8">
        <f>AVERAGE('Aug-2026'!K6:K88)</f>
        <v/>
      </c>
      <c r="G14" s="7">
        <f>SUM('Aug-2026'!L6:L88)</f>
        <v/>
      </c>
      <c r="H14" s="8">
        <f>AVERAGE('Aug-2026'!O6:O88)</f>
        <v/>
      </c>
      <c r="I14" s="8">
        <f>AVERAGE('Aug-2026'!P6:P88)</f>
        <v/>
      </c>
      <c r="J14" s="8">
        <f>AVERAGE('Aug-2026'!Q6:Q88)</f>
        <v/>
      </c>
    </row>
    <row r="15">
      <c r="A15" s="5" t="inlineStr">
        <is>
          <t>Sep-2026 MTD</t>
        </is>
      </c>
      <c r="B15" s="6">
        <f>COUNTA('Sep-2026 MTD'!B6:B88)</f>
        <v/>
      </c>
      <c r="C15" s="7">
        <f>SUM('Sep-2026 MTD'!F6:F88)</f>
        <v/>
      </c>
      <c r="D15" s="7">
        <f>SUM('Sep-2026 MTD'!I6:I88)</f>
        <v/>
      </c>
      <c r="E15" s="8">
        <f>AVERAGE('Sep-2026 MTD'!J6:J88)</f>
        <v/>
      </c>
      <c r="F15" s="8">
        <f>AVERAGE('Sep-2026 MTD'!K6:K88)</f>
        <v/>
      </c>
      <c r="G15" s="7">
        <f>SUM('Sep-2026 MTD'!L6:L88)</f>
        <v/>
      </c>
      <c r="H15" s="8">
        <f>AVERAGE('Sep-2026 MTD'!O6:O88)</f>
        <v/>
      </c>
      <c r="I15" s="8">
        <f>AVERAGE('Sep-2026 MTD'!P6:P88)</f>
        <v/>
      </c>
      <c r="J15" s="8">
        <f>AVERAGE('Sep-2026 MTD'!Q6:Q88)</f>
        <v/>
      </c>
    </row>
  </sheetData>
  <mergeCells count="2">
    <mergeCell ref="B3:J4"/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1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3" customWidth="1" min="14" max="14"/>
    <col width="9" customWidth="1" min="15" max="15"/>
    <col width="9" customWidth="1" min="16" max="16"/>
    <col width="9" customWidth="1" min="17" max="17"/>
  </cols>
  <sheetData>
    <row r="1">
      <c r="A1" s="9" t="inlineStr">
        <is>
          <t>Pioneer Car Service Center</t>
        </is>
      </c>
      <c r="I1" s="9" t="inlineStr">
        <is>
          <t>Technicians KPI's Report</t>
        </is>
      </c>
      <c r="N1" s="10" t="inlineStr">
        <is>
          <t>Period:</t>
        </is>
      </c>
      <c r="O1" s="10" t="inlineStr">
        <is>
          <t>Jan-2026</t>
        </is>
      </c>
    </row>
    <row r="2">
      <c r="A2" s="2" t="inlineStr">
        <is>
          <t>Data status:</t>
        </is>
      </c>
      <c r="B2" s="11" t="inlineStr">
        <is>
          <t>SIMULATED / ESTIMATED - realistic values based on Jul-2026 baseline</t>
        </is>
      </c>
    </row>
    <row r="5" ht="34" customHeight="1">
      <c r="A5" s="12" t="inlineStr">
        <is>
          <t>S.No</t>
        </is>
      </c>
      <c r="B5" s="12" t="inlineStr">
        <is>
          <t>Technician</t>
        </is>
      </c>
      <c r="C5" s="12" t="inlineStr">
        <is>
          <t>Designation</t>
        </is>
      </c>
      <c r="D5" s="12" t="inlineStr">
        <is>
          <t>Tech ID</t>
        </is>
      </c>
      <c r="E5" s="12" t="inlineStr">
        <is>
          <t>Days Present</t>
        </is>
      </c>
      <c r="F5" s="12" t="inlineStr">
        <is>
          <t>Avail. Hrs</t>
        </is>
      </c>
      <c r="G5" s="12" t="inlineStr">
        <is>
          <t>OT</t>
        </is>
      </c>
      <c r="H5" s="12" t="inlineStr">
        <is>
          <t>Total Hrs</t>
        </is>
      </c>
      <c r="I5" s="12" t="inlineStr">
        <is>
          <t>Worked Hrs</t>
        </is>
      </c>
      <c r="J5" s="12" t="inlineStr">
        <is>
          <t>Prod HRS (%)</t>
        </is>
      </c>
      <c r="K5" s="12" t="inlineStr">
        <is>
          <t>Idle HRS (%)</t>
        </is>
      </c>
      <c r="L5" s="12" t="inlineStr">
        <is>
          <t>Billed Value (AED)</t>
        </is>
      </c>
      <c r="M5" s="12" t="inlineStr">
        <is>
          <t>Billed HRS</t>
        </is>
      </c>
      <c r="N5" s="12" t="inlineStr">
        <is>
          <t>Billed Hours</t>
        </is>
      </c>
      <c r="O5" s="12" t="inlineStr">
        <is>
          <t>U%</t>
        </is>
      </c>
      <c r="P5" s="12" t="inlineStr">
        <is>
          <t>P%</t>
        </is>
      </c>
      <c r="Q5" s="12" t="inlineStr">
        <is>
          <t>E%</t>
        </is>
      </c>
    </row>
    <row r="6">
      <c r="A6" s="13" t="n">
        <v>1</v>
      </c>
      <c r="B6" s="14" t="inlineStr">
        <is>
          <t>GERVAS LEONARD</t>
        </is>
      </c>
      <c r="C6" s="14" t="inlineStr">
        <is>
          <t>DENTER</t>
        </is>
      </c>
      <c r="D6" s="14" t="inlineStr">
        <is>
          <t>TN0015</t>
        </is>
      </c>
      <c r="E6" s="13" t="n">
        <v>27</v>
      </c>
      <c r="F6" s="15">
        <f>E6*8</f>
        <v/>
      </c>
      <c r="G6" s="16" t="n">
        <v>2</v>
      </c>
      <c r="H6" s="15">
        <f>F6+G6</f>
        <v/>
      </c>
      <c r="I6" s="16" t="n">
        <v>174.16</v>
      </c>
      <c r="J6" s="17">
        <f>IFERROR(I6/H6,0)</f>
        <v/>
      </c>
      <c r="K6" s="17">
        <f>MAX(0,1-J6)</f>
        <v/>
      </c>
      <c r="L6" s="18" t="n">
        <v>14819.93</v>
      </c>
      <c r="M6" s="16" t="n">
        <v>174.16</v>
      </c>
      <c r="N6" s="15">
        <f>M6+E6*2</f>
        <v/>
      </c>
      <c r="O6" s="17">
        <f>MIN(1.25,J6+15%)</f>
        <v/>
      </c>
      <c r="P6" s="17">
        <f>J6</f>
        <v/>
      </c>
      <c r="Q6" s="17">
        <f>MIN(1.25,O6*P6/90%)</f>
        <v/>
      </c>
    </row>
    <row r="7">
      <c r="A7" s="13" t="n">
        <v>2</v>
      </c>
      <c r="B7" s="14" t="inlineStr">
        <is>
          <t>ATHUMANI HAMAD NGODA</t>
        </is>
      </c>
      <c r="C7" s="14" t="inlineStr">
        <is>
          <t>PAINTER</t>
        </is>
      </c>
      <c r="D7" s="14" t="inlineStr">
        <is>
          <t>TN0018</t>
        </is>
      </c>
      <c r="E7" s="13" t="n">
        <v>26</v>
      </c>
      <c r="F7" s="15">
        <f>E7*8</f>
        <v/>
      </c>
      <c r="G7" s="16" t="n">
        <v>1</v>
      </c>
      <c r="H7" s="15">
        <f>F7+G7</f>
        <v/>
      </c>
      <c r="I7" s="16" t="n">
        <v>171.72</v>
      </c>
      <c r="J7" s="17">
        <f>IFERROR(I7/H7,0)</f>
        <v/>
      </c>
      <c r="K7" s="17">
        <f>MAX(0,1-J7)</f>
        <v/>
      </c>
      <c r="L7" s="18" t="n">
        <v>14775.63</v>
      </c>
      <c r="M7" s="16" t="n">
        <v>171.72</v>
      </c>
      <c r="N7" s="15">
        <f>M7+E7*2</f>
        <v/>
      </c>
      <c r="O7" s="17">
        <f>MIN(1.25,J7+15%)</f>
        <v/>
      </c>
      <c r="P7" s="17">
        <f>J7</f>
        <v/>
      </c>
      <c r="Q7" s="17">
        <f>MIN(1.25,O7*P7/90%)</f>
        <v/>
      </c>
    </row>
    <row r="8">
      <c r="A8" s="13" t="n">
        <v>3</v>
      </c>
      <c r="B8" s="14" t="inlineStr">
        <is>
          <t>SAMIRULLAH Sheikh</t>
        </is>
      </c>
      <c r="C8" s="14" t="inlineStr">
        <is>
          <t>PAINTER</t>
        </is>
      </c>
      <c r="D8" s="14" t="inlineStr">
        <is>
          <t>TN0020</t>
        </is>
      </c>
      <c r="E8" s="13" t="n">
        <v>26</v>
      </c>
      <c r="F8" s="15">
        <f>E8*8</f>
        <v/>
      </c>
      <c r="G8" s="16" t="n">
        <v>0</v>
      </c>
      <c r="H8" s="15">
        <f>F8+G8</f>
        <v/>
      </c>
      <c r="I8" s="16" t="n">
        <v>169.17</v>
      </c>
      <c r="J8" s="17">
        <f>IFERROR(I8/H8,0)</f>
        <v/>
      </c>
      <c r="K8" s="17">
        <f>MAX(0,1-J8)</f>
        <v/>
      </c>
      <c r="L8" s="18" t="n">
        <v>14415.59</v>
      </c>
      <c r="M8" s="16" t="n">
        <v>169.17</v>
      </c>
      <c r="N8" s="15">
        <f>M8+E8*2</f>
        <v/>
      </c>
      <c r="O8" s="17">
        <f>MIN(1.25,J8+15%)</f>
        <v/>
      </c>
      <c r="P8" s="17">
        <f>J8</f>
        <v/>
      </c>
      <c r="Q8" s="17">
        <f>MIN(1.25,O8*P8/90%)</f>
        <v/>
      </c>
    </row>
    <row r="9">
      <c r="A9" s="13" t="n">
        <v>4</v>
      </c>
      <c r="B9" s="14" t="inlineStr">
        <is>
          <t>BRUNO STEPHANO MASASI</t>
        </is>
      </c>
      <c r="C9" s="14" t="inlineStr">
        <is>
          <t>MECHANIC</t>
        </is>
      </c>
      <c r="D9" s="14" t="inlineStr">
        <is>
          <t>TN0023</t>
        </is>
      </c>
      <c r="E9" s="13" t="n">
        <v>27</v>
      </c>
      <c r="F9" s="15">
        <f>E9*8</f>
        <v/>
      </c>
      <c r="G9" s="16" t="n">
        <v>0</v>
      </c>
      <c r="H9" s="15">
        <f>F9+G9</f>
        <v/>
      </c>
      <c r="I9" s="16" t="n">
        <v>182.15</v>
      </c>
      <c r="J9" s="17">
        <f>IFERROR(I9/H9,0)</f>
        <v/>
      </c>
      <c r="K9" s="17">
        <f>MAX(0,1-J9)</f>
        <v/>
      </c>
      <c r="L9" s="18" t="n">
        <v>15224.74</v>
      </c>
      <c r="M9" s="16" t="n">
        <v>182.15</v>
      </c>
      <c r="N9" s="15">
        <f>M9+E9*2</f>
        <v/>
      </c>
      <c r="O9" s="17">
        <f>MIN(1.25,J9+15%)</f>
        <v/>
      </c>
      <c r="P9" s="17">
        <f>J9</f>
        <v/>
      </c>
      <c r="Q9" s="17">
        <f>MIN(1.25,O9*P9/90%)</f>
        <v/>
      </c>
    </row>
    <row r="10">
      <c r="A10" s="13" t="n">
        <v>5</v>
      </c>
      <c r="B10" s="14" t="inlineStr">
        <is>
          <t>JUMANNE ABDUL</t>
        </is>
      </c>
      <c r="C10" s="14" t="inlineStr">
        <is>
          <t>PAINTER</t>
        </is>
      </c>
      <c r="D10" s="14" t="inlineStr">
        <is>
          <t>TN0025</t>
        </is>
      </c>
      <c r="E10" s="13" t="n">
        <v>27</v>
      </c>
      <c r="F10" s="15">
        <f>E10*8</f>
        <v/>
      </c>
      <c r="G10" s="16" t="n">
        <v>0</v>
      </c>
      <c r="H10" s="15">
        <f>F10+G10</f>
        <v/>
      </c>
      <c r="I10" s="16" t="n">
        <v>168.84</v>
      </c>
      <c r="J10" s="17">
        <f>IFERROR(I10/H10,0)</f>
        <v/>
      </c>
      <c r="K10" s="17">
        <f>MAX(0,1-J10)</f>
        <v/>
      </c>
      <c r="L10" s="18" t="n">
        <v>14324.07</v>
      </c>
      <c r="M10" s="16" t="n">
        <v>168.84</v>
      </c>
      <c r="N10" s="15">
        <f>M10+E10*2</f>
        <v/>
      </c>
      <c r="O10" s="17">
        <f>MIN(1.25,J10+15%)</f>
        <v/>
      </c>
      <c r="P10" s="17">
        <f>J10</f>
        <v/>
      </c>
      <c r="Q10" s="17">
        <f>MIN(1.25,O10*P10/90%)</f>
        <v/>
      </c>
    </row>
    <row r="11">
      <c r="A11" s="13" t="n">
        <v>6</v>
      </c>
      <c r="B11" s="14" t="inlineStr">
        <is>
          <t>Ally Bakali Kufikili</t>
        </is>
      </c>
      <c r="C11" s="14" t="inlineStr">
        <is>
          <t>PAINTER</t>
        </is>
      </c>
      <c r="D11" s="14" t="inlineStr">
        <is>
          <t>TN0027</t>
        </is>
      </c>
      <c r="E11" s="13" t="n">
        <v>1</v>
      </c>
      <c r="F11" s="15">
        <f>E11*8</f>
        <v/>
      </c>
      <c r="G11" s="16" t="n">
        <v>0</v>
      </c>
      <c r="H11" s="15">
        <f>F11+G11</f>
        <v/>
      </c>
      <c r="I11" s="16" t="n">
        <v>6.57</v>
      </c>
      <c r="J11" s="17">
        <f>IFERROR(I11/H11,0)</f>
        <v/>
      </c>
      <c r="K11" s="17">
        <f>MAX(0,1-J11)</f>
        <v/>
      </c>
      <c r="L11" s="18" t="n">
        <v>554.38</v>
      </c>
      <c r="M11" s="16" t="n">
        <v>6.57</v>
      </c>
      <c r="N11" s="15">
        <f>M11+E11*2</f>
        <v/>
      </c>
      <c r="O11" s="17">
        <f>MIN(1.25,J11+15%)</f>
        <v/>
      </c>
      <c r="P11" s="17">
        <f>J11</f>
        <v/>
      </c>
      <c r="Q11" s="17">
        <f>MIN(1.25,O11*P11/90%)</f>
        <v/>
      </c>
    </row>
    <row r="12">
      <c r="A12" s="13" t="n">
        <v>7</v>
      </c>
      <c r="B12" s="14" t="inlineStr">
        <is>
          <t>Daudi Khafani Mrisho</t>
        </is>
      </c>
      <c r="C12" s="14" t="inlineStr">
        <is>
          <t>PAINTER</t>
        </is>
      </c>
      <c r="D12" s="14" t="inlineStr">
        <is>
          <t>TN0028</t>
        </is>
      </c>
      <c r="E12" s="13" t="n">
        <v>26</v>
      </c>
      <c r="F12" s="15">
        <f>E12*8</f>
        <v/>
      </c>
      <c r="G12" s="16" t="n">
        <v>4</v>
      </c>
      <c r="H12" s="15">
        <f>F12+G12</f>
        <v/>
      </c>
      <c r="I12" s="16" t="n">
        <v>170.09</v>
      </c>
      <c r="J12" s="17">
        <f>IFERROR(I12/H12,0)</f>
        <v/>
      </c>
      <c r="K12" s="17">
        <f>MAX(0,1-J12)</f>
        <v/>
      </c>
      <c r="L12" s="18" t="n">
        <v>14459.12</v>
      </c>
      <c r="M12" s="16" t="n">
        <v>170.09</v>
      </c>
      <c r="N12" s="15">
        <f>M12+E12*2</f>
        <v/>
      </c>
      <c r="O12" s="17">
        <f>MIN(1.25,J12+15%)</f>
        <v/>
      </c>
      <c r="P12" s="17">
        <f>J12</f>
        <v/>
      </c>
      <c r="Q12" s="17">
        <f>MIN(1.25,O12*P12/90%)</f>
        <v/>
      </c>
    </row>
    <row r="13">
      <c r="A13" s="13" t="n">
        <v>8</v>
      </c>
      <c r="B13" s="14" t="inlineStr">
        <is>
          <t>Aboo Khan Babu Khan</t>
        </is>
      </c>
      <c r="C13" s="14" t="inlineStr">
        <is>
          <t>PAINTER</t>
        </is>
      </c>
      <c r="D13" s="14" t="inlineStr">
        <is>
          <t>TN0041</t>
        </is>
      </c>
      <c r="E13" s="13" t="n">
        <v>25</v>
      </c>
      <c r="F13" s="15">
        <f>E13*8</f>
        <v/>
      </c>
      <c r="G13" s="16" t="n">
        <v>4</v>
      </c>
      <c r="H13" s="15">
        <f>F13+G13</f>
        <v/>
      </c>
      <c r="I13" s="16" t="n">
        <v>159.12</v>
      </c>
      <c r="J13" s="17">
        <f>IFERROR(I13/H13,0)</f>
        <v/>
      </c>
      <c r="K13" s="17">
        <f>MAX(0,1-J13)</f>
        <v/>
      </c>
      <c r="L13" s="18" t="n">
        <v>13673.86</v>
      </c>
      <c r="M13" s="16" t="n">
        <v>159.12</v>
      </c>
      <c r="N13" s="15">
        <f>M13+E13*2</f>
        <v/>
      </c>
      <c r="O13" s="17">
        <f>MIN(1.25,J13+15%)</f>
        <v/>
      </c>
      <c r="P13" s="17">
        <f>J13</f>
        <v/>
      </c>
      <c r="Q13" s="17">
        <f>MIN(1.25,O13*P13/90%)</f>
        <v/>
      </c>
    </row>
    <row r="14">
      <c r="A14" s="13" t="n">
        <v>9</v>
      </c>
      <c r="B14" s="14" t="inlineStr">
        <is>
          <t>AFZAL ALI</t>
        </is>
      </c>
      <c r="C14" s="14" t="inlineStr">
        <is>
          <t>DENTER</t>
        </is>
      </c>
      <c r="D14" s="14" t="inlineStr">
        <is>
          <t>TN0046</t>
        </is>
      </c>
      <c r="E14" s="13" t="n">
        <v>27</v>
      </c>
      <c r="F14" s="15">
        <f>E14*8</f>
        <v/>
      </c>
      <c r="G14" s="16" t="n">
        <v>0</v>
      </c>
      <c r="H14" s="15">
        <f>F14+G14</f>
        <v/>
      </c>
      <c r="I14" s="16" t="n">
        <v>161.15</v>
      </c>
      <c r="J14" s="17">
        <f>IFERROR(I14/H14,0)</f>
        <v/>
      </c>
      <c r="K14" s="17">
        <f>MAX(0,1-J14)</f>
        <v/>
      </c>
      <c r="L14" s="18" t="n">
        <v>13861.25</v>
      </c>
      <c r="M14" s="16" t="n">
        <v>161.15</v>
      </c>
      <c r="N14" s="15">
        <f>M14+E14*2</f>
        <v/>
      </c>
      <c r="O14" s="17">
        <f>MIN(1.25,J14+15%)</f>
        <v/>
      </c>
      <c r="P14" s="17">
        <f>J14</f>
        <v/>
      </c>
      <c r="Q14" s="17">
        <f>MIN(1.25,O14*P14/90%)</f>
        <v/>
      </c>
    </row>
    <row r="15">
      <c r="A15" s="13" t="n">
        <v>10</v>
      </c>
      <c r="B15" s="14" t="inlineStr">
        <is>
          <t>ALEX LAL</t>
        </is>
      </c>
      <c r="C15" s="14" t="inlineStr">
        <is>
          <t>DENTER</t>
        </is>
      </c>
      <c r="D15" s="14" t="inlineStr">
        <is>
          <t>TN0047</t>
        </is>
      </c>
      <c r="E15" s="13" t="n">
        <v>27</v>
      </c>
      <c r="F15" s="15">
        <f>E15*8</f>
        <v/>
      </c>
      <c r="G15" s="16" t="n">
        <v>0</v>
      </c>
      <c r="H15" s="15">
        <f>F15+G15</f>
        <v/>
      </c>
      <c r="I15" s="16" t="n">
        <v>167.99</v>
      </c>
      <c r="J15" s="17">
        <f>IFERROR(I15/H15,0)</f>
        <v/>
      </c>
      <c r="K15" s="17">
        <f>MAX(0,1-J15)</f>
        <v/>
      </c>
      <c r="L15" s="18" t="n">
        <v>14396.17</v>
      </c>
      <c r="M15" s="16" t="n">
        <v>167.99</v>
      </c>
      <c r="N15" s="15">
        <f>M15+E15*2</f>
        <v/>
      </c>
      <c r="O15" s="17">
        <f>MIN(1.25,J15+15%)</f>
        <v/>
      </c>
      <c r="P15" s="17">
        <f>J15</f>
        <v/>
      </c>
      <c r="Q15" s="17">
        <f>MIN(1.25,O15*P15/90%)</f>
        <v/>
      </c>
    </row>
    <row r="16">
      <c r="A16" s="13" t="n">
        <v>11</v>
      </c>
      <c r="B16" s="14" t="inlineStr">
        <is>
          <t>MOHAMMAD ALMAGIR</t>
        </is>
      </c>
      <c r="C16" s="14" t="inlineStr">
        <is>
          <t>MECHANIC</t>
        </is>
      </c>
      <c r="D16" s="14" t="inlineStr">
        <is>
          <t>TN0055</t>
        </is>
      </c>
      <c r="E16" s="13" t="n">
        <v>14</v>
      </c>
      <c r="F16" s="15">
        <f>E16*8</f>
        <v/>
      </c>
      <c r="G16" s="16" t="n">
        <v>0</v>
      </c>
      <c r="H16" s="15">
        <f>F16+G16</f>
        <v/>
      </c>
      <c r="I16" s="16" t="n">
        <v>44.87</v>
      </c>
      <c r="J16" s="17">
        <f>IFERROR(I16/H16,0)</f>
        <v/>
      </c>
      <c r="K16" s="17">
        <f>MAX(0,1-J16)</f>
        <v/>
      </c>
      <c r="L16" s="18" t="n">
        <v>3808.95</v>
      </c>
      <c r="M16" s="16" t="n">
        <v>44.87</v>
      </c>
      <c r="N16" s="15">
        <f>M16+E16*2</f>
        <v/>
      </c>
      <c r="O16" s="17">
        <f>MIN(1.25,J16+15%)</f>
        <v/>
      </c>
      <c r="P16" s="17">
        <f>J16</f>
        <v/>
      </c>
      <c r="Q16" s="17">
        <f>MIN(1.25,O16*P16/90%)</f>
        <v/>
      </c>
    </row>
    <row r="17">
      <c r="A17" s="13" t="n">
        <v>12</v>
      </c>
      <c r="B17" s="14" t="inlineStr">
        <is>
          <t>ADESH BARUA</t>
        </is>
      </c>
      <c r="C17" s="14" t="inlineStr">
        <is>
          <t>ELECTRICIAN</t>
        </is>
      </c>
      <c r="D17" s="14" t="inlineStr">
        <is>
          <t>TN0064</t>
        </is>
      </c>
      <c r="E17" s="13" t="n">
        <v>25</v>
      </c>
      <c r="F17" s="15">
        <f>E17*8</f>
        <v/>
      </c>
      <c r="G17" s="16" t="n">
        <v>0</v>
      </c>
      <c r="H17" s="15">
        <f>F17+G17</f>
        <v/>
      </c>
      <c r="I17" s="16" t="n">
        <v>160.72</v>
      </c>
      <c r="J17" s="17">
        <f>IFERROR(I17/H17,0)</f>
        <v/>
      </c>
      <c r="K17" s="17">
        <f>MAX(0,1-J17)</f>
        <v/>
      </c>
      <c r="L17" s="18" t="n">
        <v>13684.13</v>
      </c>
      <c r="M17" s="16" t="n">
        <v>160.72</v>
      </c>
      <c r="N17" s="15">
        <f>M17+E17*2</f>
        <v/>
      </c>
      <c r="O17" s="17">
        <f>MIN(1.25,J17+15%)</f>
        <v/>
      </c>
      <c r="P17" s="17">
        <f>J17</f>
        <v/>
      </c>
      <c r="Q17" s="17">
        <f>MIN(1.25,O17*P17/90%)</f>
        <v/>
      </c>
    </row>
    <row r="18">
      <c r="A18" s="13" t="n">
        <v>13</v>
      </c>
      <c r="B18" s="14" t="inlineStr">
        <is>
          <t>BIDYADHAR BHUYAN</t>
        </is>
      </c>
      <c r="C18" s="14" t="inlineStr">
        <is>
          <t>PAINTER</t>
        </is>
      </c>
      <c r="D18" s="14" t="inlineStr">
        <is>
          <t>TN0067</t>
        </is>
      </c>
      <c r="E18" s="13" t="n">
        <v>27</v>
      </c>
      <c r="F18" s="15">
        <f>E18*8</f>
        <v/>
      </c>
      <c r="G18" s="16" t="n">
        <v>0</v>
      </c>
      <c r="H18" s="15">
        <f>F18+G18</f>
        <v/>
      </c>
      <c r="I18" s="16" t="n">
        <v>154.85</v>
      </c>
      <c r="J18" s="17">
        <f>IFERROR(I18/H18,0)</f>
        <v/>
      </c>
      <c r="K18" s="17">
        <f>MAX(0,1-J18)</f>
        <v/>
      </c>
      <c r="L18" s="18" t="n">
        <v>13316.81</v>
      </c>
      <c r="M18" s="16" t="n">
        <v>154.85</v>
      </c>
      <c r="N18" s="15">
        <f>M18+E18*2</f>
        <v/>
      </c>
      <c r="O18" s="17">
        <f>MIN(1.25,J18+15%)</f>
        <v/>
      </c>
      <c r="P18" s="17">
        <f>J18</f>
        <v/>
      </c>
      <c r="Q18" s="17">
        <f>MIN(1.25,O18*P18/90%)</f>
        <v/>
      </c>
    </row>
    <row r="19">
      <c r="A19" s="13" t="n">
        <v>14</v>
      </c>
      <c r="B19" s="14" t="inlineStr">
        <is>
          <t>MOHAMMAD EHTESHAM</t>
        </is>
      </c>
      <c r="C19" s="14" t="inlineStr">
        <is>
          <t>PAINTER</t>
        </is>
      </c>
      <c r="D19" s="14" t="inlineStr">
        <is>
          <t>TN0069</t>
        </is>
      </c>
      <c r="E19" s="13" t="n">
        <v>27</v>
      </c>
      <c r="F19" s="15">
        <f>E19*8</f>
        <v/>
      </c>
      <c r="G19" s="16" t="n">
        <v>2</v>
      </c>
      <c r="H19" s="15">
        <f>F19+G19</f>
        <v/>
      </c>
      <c r="I19" s="16" t="n">
        <v>189.25</v>
      </c>
      <c r="J19" s="17">
        <f>IFERROR(I19/H19,0)</f>
        <v/>
      </c>
      <c r="K19" s="17">
        <f>MAX(0,1-J19)</f>
        <v/>
      </c>
      <c r="L19" s="18" t="n">
        <v>16354.51</v>
      </c>
      <c r="M19" s="16" t="n">
        <v>189.25</v>
      </c>
      <c r="N19" s="15">
        <f>M19+E19*2</f>
        <v/>
      </c>
      <c r="O19" s="17">
        <f>MIN(1.25,J19+15%)</f>
        <v/>
      </c>
      <c r="P19" s="17">
        <f>J19</f>
        <v/>
      </c>
      <c r="Q19" s="17">
        <f>MIN(1.25,O19*P19/90%)</f>
        <v/>
      </c>
    </row>
    <row r="20">
      <c r="A20" s="13" t="n">
        <v>15</v>
      </c>
      <c r="B20" s="14" t="inlineStr">
        <is>
          <t>SHAZADA ALI</t>
        </is>
      </c>
      <c r="C20" s="14" t="inlineStr">
        <is>
          <t>DENTER</t>
        </is>
      </c>
      <c r="D20" s="14" t="inlineStr">
        <is>
          <t>TN0072</t>
        </is>
      </c>
      <c r="E20" s="13" t="n">
        <v>27</v>
      </c>
      <c r="F20" s="15">
        <f>E20*8</f>
        <v/>
      </c>
      <c r="G20" s="16" t="n">
        <v>0</v>
      </c>
      <c r="H20" s="15">
        <f>F20+G20</f>
        <v/>
      </c>
      <c r="I20" s="16" t="n">
        <v>191.69</v>
      </c>
      <c r="J20" s="17">
        <f>IFERROR(I20/H20,0)</f>
        <v/>
      </c>
      <c r="K20" s="17">
        <f>MAX(0,1-J20)</f>
        <v/>
      </c>
      <c r="L20" s="18" t="n">
        <v>16147.36</v>
      </c>
      <c r="M20" s="16" t="n">
        <v>191.69</v>
      </c>
      <c r="N20" s="15">
        <f>M20+E20*2</f>
        <v/>
      </c>
      <c r="O20" s="17">
        <f>MIN(1.25,J20+15%)</f>
        <v/>
      </c>
      <c r="P20" s="17">
        <f>J20</f>
        <v/>
      </c>
      <c r="Q20" s="17">
        <f>MIN(1.25,O20*P20/90%)</f>
        <v/>
      </c>
    </row>
    <row r="21">
      <c r="A21" s="13" t="n">
        <v>16</v>
      </c>
      <c r="B21" s="14" t="inlineStr">
        <is>
          <t>DIVAKAREN</t>
        </is>
      </c>
      <c r="C21" s="14" t="inlineStr">
        <is>
          <t>ELECTRICIAN</t>
        </is>
      </c>
      <c r="D21" s="14" t="inlineStr">
        <is>
          <t>TN0073</t>
        </is>
      </c>
      <c r="E21" s="13" t="n">
        <v>27</v>
      </c>
      <c r="F21" s="15">
        <f>E21*8</f>
        <v/>
      </c>
      <c r="G21" s="16" t="n">
        <v>0</v>
      </c>
      <c r="H21" s="15">
        <f>F21+G21</f>
        <v/>
      </c>
      <c r="I21" s="16" t="n">
        <v>113.29</v>
      </c>
      <c r="J21" s="17">
        <f>IFERROR(I21/H21,0)</f>
        <v/>
      </c>
      <c r="K21" s="17">
        <f>MAX(0,1-J21)</f>
        <v/>
      </c>
      <c r="L21" s="18" t="n">
        <v>9629.540000000001</v>
      </c>
      <c r="M21" s="16" t="n">
        <v>113.29</v>
      </c>
      <c r="N21" s="15">
        <f>M21+E21*2</f>
        <v/>
      </c>
      <c r="O21" s="17">
        <f>MIN(1.25,J21+15%)</f>
        <v/>
      </c>
      <c r="P21" s="17">
        <f>J21</f>
        <v/>
      </c>
      <c r="Q21" s="17">
        <f>MIN(1.25,O21*P21/90%)</f>
        <v/>
      </c>
    </row>
    <row r="22">
      <c r="A22" s="13" t="n">
        <v>17</v>
      </c>
      <c r="B22" s="14" t="inlineStr">
        <is>
          <t>RAGHIN KUVVAKKAT</t>
        </is>
      </c>
      <c r="C22" s="14" t="inlineStr">
        <is>
          <t>MECHANIC</t>
        </is>
      </c>
      <c r="D22" s="14" t="inlineStr">
        <is>
          <t>TN0082</t>
        </is>
      </c>
      <c r="E22" s="13" t="n">
        <v>27</v>
      </c>
      <c r="F22" s="15">
        <f>E22*8</f>
        <v/>
      </c>
      <c r="G22" s="16" t="n">
        <v>4</v>
      </c>
      <c r="H22" s="15">
        <f>F22+G22</f>
        <v/>
      </c>
      <c r="I22" s="16" t="n">
        <v>135.34</v>
      </c>
      <c r="J22" s="17">
        <f>IFERROR(I22/H22,0)</f>
        <v/>
      </c>
      <c r="K22" s="17">
        <f>MAX(0,1-J22)</f>
        <v/>
      </c>
      <c r="L22" s="18" t="n">
        <v>11752.1</v>
      </c>
      <c r="M22" s="16" t="n">
        <v>135.34</v>
      </c>
      <c r="N22" s="15">
        <f>M22+E22*2</f>
        <v/>
      </c>
      <c r="O22" s="17">
        <f>MIN(1.25,J22+15%)</f>
        <v/>
      </c>
      <c r="P22" s="17">
        <f>J22</f>
        <v/>
      </c>
      <c r="Q22" s="17">
        <f>MIN(1.25,O22*P22/90%)</f>
        <v/>
      </c>
    </row>
    <row r="23">
      <c r="A23" s="13" t="n">
        <v>18</v>
      </c>
      <c r="B23" s="14" t="inlineStr">
        <is>
          <t>MARLON LANDICHO</t>
        </is>
      </c>
      <c r="C23" s="14" t="inlineStr">
        <is>
          <t>MECHANIC</t>
        </is>
      </c>
      <c r="D23" s="14" t="inlineStr">
        <is>
          <t>TN0089</t>
        </is>
      </c>
      <c r="E23" s="13" t="n">
        <v>27</v>
      </c>
      <c r="F23" s="15">
        <f>E23*8</f>
        <v/>
      </c>
      <c r="G23" s="16" t="n">
        <v>4</v>
      </c>
      <c r="H23" s="15">
        <f>F23+G23</f>
        <v/>
      </c>
      <c r="I23" s="16" t="n">
        <v>187.1</v>
      </c>
      <c r="J23" s="17">
        <f>IFERROR(I23/H23,0)</f>
        <v/>
      </c>
      <c r="K23" s="17">
        <f>MAX(0,1-J23)</f>
        <v/>
      </c>
      <c r="L23" s="18" t="n">
        <v>16082.04</v>
      </c>
      <c r="M23" s="16" t="n">
        <v>187.1</v>
      </c>
      <c r="N23" s="15">
        <f>M23+E23*2</f>
        <v/>
      </c>
      <c r="O23" s="17">
        <f>MIN(1.25,J23+15%)</f>
        <v/>
      </c>
      <c r="P23" s="17">
        <f>J23</f>
        <v/>
      </c>
      <c r="Q23" s="17">
        <f>MIN(1.25,O23*P23/90%)</f>
        <v/>
      </c>
    </row>
    <row r="24">
      <c r="A24" s="13" t="n">
        <v>19</v>
      </c>
      <c r="B24" s="14" t="inlineStr">
        <is>
          <t>LIJO SAJAN DANIEL</t>
        </is>
      </c>
      <c r="C24" s="14" t="inlineStr">
        <is>
          <t>MECHANIC</t>
        </is>
      </c>
      <c r="D24" s="14" t="inlineStr">
        <is>
          <t>TN0092</t>
        </is>
      </c>
      <c r="E24" s="13" t="n">
        <v>25</v>
      </c>
      <c r="F24" s="15">
        <f>E24*8</f>
        <v/>
      </c>
      <c r="G24" s="16" t="n">
        <v>0</v>
      </c>
      <c r="H24" s="15">
        <f>F24+G24</f>
        <v/>
      </c>
      <c r="I24" s="16" t="n">
        <v>152.95</v>
      </c>
      <c r="J24" s="17">
        <f>IFERROR(I24/H24,0)</f>
        <v/>
      </c>
      <c r="K24" s="17">
        <f>MAX(0,1-J24)</f>
        <v/>
      </c>
      <c r="L24" s="18" t="n">
        <v>12939.09</v>
      </c>
      <c r="M24" s="16" t="n">
        <v>152.95</v>
      </c>
      <c r="N24" s="15">
        <f>M24+E24*2</f>
        <v/>
      </c>
      <c r="O24" s="17">
        <f>MIN(1.25,J24+15%)</f>
        <v/>
      </c>
      <c r="P24" s="17">
        <f>J24</f>
        <v/>
      </c>
      <c r="Q24" s="17">
        <f>MIN(1.25,O24*P24/90%)</f>
        <v/>
      </c>
    </row>
    <row r="25">
      <c r="A25" s="13" t="n">
        <v>20</v>
      </c>
      <c r="B25" s="14" t="inlineStr">
        <is>
          <t>WASSIM AKKARI</t>
        </is>
      </c>
      <c r="C25" s="14" t="inlineStr">
        <is>
          <t>TYRE TECHNICIAN</t>
        </is>
      </c>
      <c r="D25" s="14" t="inlineStr">
        <is>
          <t>TN0096</t>
        </is>
      </c>
      <c r="E25" s="13" t="n">
        <v>25</v>
      </c>
      <c r="F25" s="15">
        <f>E25*8</f>
        <v/>
      </c>
      <c r="G25" s="16" t="n">
        <v>0</v>
      </c>
      <c r="H25" s="15">
        <f>F25+G25</f>
        <v/>
      </c>
      <c r="I25" s="16" t="n">
        <v>128.96</v>
      </c>
      <c r="J25" s="17">
        <f>IFERROR(I25/H25,0)</f>
        <v/>
      </c>
      <c r="K25" s="17">
        <f>MAX(0,1-J25)</f>
        <v/>
      </c>
      <c r="L25" s="18" t="n">
        <v>10700.44</v>
      </c>
      <c r="M25" s="16" t="n">
        <v>128.96</v>
      </c>
      <c r="N25" s="15">
        <f>M25+E25*2</f>
        <v/>
      </c>
      <c r="O25" s="17">
        <f>MIN(1.25,J25+15%)</f>
        <v/>
      </c>
      <c r="P25" s="17">
        <f>J25</f>
        <v/>
      </c>
      <c r="Q25" s="17">
        <f>MIN(1.25,O25*P25/90%)</f>
        <v/>
      </c>
    </row>
    <row r="26">
      <c r="A26" s="13" t="n">
        <v>21</v>
      </c>
      <c r="B26" s="14" t="inlineStr">
        <is>
          <t>MUHAMMAD NADEEM</t>
        </is>
      </c>
      <c r="C26" s="14" t="inlineStr">
        <is>
          <t>MECHANIC</t>
        </is>
      </c>
      <c r="D26" s="14" t="inlineStr">
        <is>
          <t>TN0107</t>
        </is>
      </c>
      <c r="E26" s="13" t="n">
        <v>27</v>
      </c>
      <c r="F26" s="15">
        <f>E26*8</f>
        <v/>
      </c>
      <c r="G26" s="16" t="n">
        <v>0</v>
      </c>
      <c r="H26" s="15">
        <f>F26+G26</f>
        <v/>
      </c>
      <c r="I26" s="16" t="n">
        <v>196.2</v>
      </c>
      <c r="J26" s="17">
        <f>IFERROR(I26/H26,0)</f>
        <v/>
      </c>
      <c r="K26" s="17">
        <f>MAX(0,1-J26)</f>
        <v/>
      </c>
      <c r="L26" s="18" t="n">
        <v>16419.23</v>
      </c>
      <c r="M26" s="16" t="n">
        <v>196.2</v>
      </c>
      <c r="N26" s="15">
        <f>M26+E26*2</f>
        <v/>
      </c>
      <c r="O26" s="17">
        <f>MIN(1.25,J26+15%)</f>
        <v/>
      </c>
      <c r="P26" s="17">
        <f>J26</f>
        <v/>
      </c>
      <c r="Q26" s="17">
        <f>MIN(1.25,O26*P26/90%)</f>
        <v/>
      </c>
    </row>
    <row r="27">
      <c r="A27" s="13" t="n">
        <v>22</v>
      </c>
      <c r="B27" s="14" t="inlineStr">
        <is>
          <t>SURESH NATRAJAN</t>
        </is>
      </c>
      <c r="C27" s="14" t="inlineStr">
        <is>
          <t>TYRE TECHNICIAN</t>
        </is>
      </c>
      <c r="D27" s="14" t="inlineStr">
        <is>
          <t>TN0109</t>
        </is>
      </c>
      <c r="E27" s="13" t="n">
        <v>27</v>
      </c>
      <c r="F27" s="15">
        <f>E27*8</f>
        <v/>
      </c>
      <c r="G27" s="16" t="n">
        <v>1</v>
      </c>
      <c r="H27" s="15">
        <f>F27+G27</f>
        <v/>
      </c>
      <c r="I27" s="16" t="n">
        <v>185.64</v>
      </c>
      <c r="J27" s="17">
        <f>IFERROR(I27/H27,0)</f>
        <v/>
      </c>
      <c r="K27" s="17">
        <f>MAX(0,1-J27)</f>
        <v/>
      </c>
      <c r="L27" s="18" t="n">
        <v>15402.41</v>
      </c>
      <c r="M27" s="16" t="n">
        <v>185.64</v>
      </c>
      <c r="N27" s="15">
        <f>M27+E27*2</f>
        <v/>
      </c>
      <c r="O27" s="17">
        <f>MIN(1.25,J27+15%)</f>
        <v/>
      </c>
      <c r="P27" s="17">
        <f>J27</f>
        <v/>
      </c>
      <c r="Q27" s="17">
        <f>MIN(1.25,O27*P27/90%)</f>
        <v/>
      </c>
    </row>
    <row r="28">
      <c r="A28" s="13" t="n">
        <v>23</v>
      </c>
      <c r="B28" s="14" t="inlineStr">
        <is>
          <t>NIKHIL VARKEY</t>
        </is>
      </c>
      <c r="C28" s="14" t="inlineStr">
        <is>
          <t>ELECTRICIAN</t>
        </is>
      </c>
      <c r="D28" s="14" t="inlineStr">
        <is>
          <t>TN0114</t>
        </is>
      </c>
      <c r="E28" s="13" t="n">
        <v>26</v>
      </c>
      <c r="F28" s="15">
        <f>E28*8</f>
        <v/>
      </c>
      <c r="G28" s="16" t="n">
        <v>0</v>
      </c>
      <c r="H28" s="15">
        <f>F28+G28</f>
        <v/>
      </c>
      <c r="I28" s="16" t="n">
        <v>108.37</v>
      </c>
      <c r="J28" s="17">
        <f>IFERROR(I28/H28,0)</f>
        <v/>
      </c>
      <c r="K28" s="17">
        <f>MAX(0,1-J28)</f>
        <v/>
      </c>
      <c r="L28" s="18" t="n">
        <v>9328.799999999999</v>
      </c>
      <c r="M28" s="16" t="n">
        <v>108.37</v>
      </c>
      <c r="N28" s="15">
        <f>M28+E28*2</f>
        <v/>
      </c>
      <c r="O28" s="17">
        <f>MIN(1.25,J28+15%)</f>
        <v/>
      </c>
      <c r="P28" s="17">
        <f>J28</f>
        <v/>
      </c>
      <c r="Q28" s="17">
        <f>MIN(1.25,O28*P28/90%)</f>
        <v/>
      </c>
    </row>
    <row r="29">
      <c r="A29" s="13" t="n">
        <v>24</v>
      </c>
      <c r="B29" s="14" t="inlineStr">
        <is>
          <t>SAFIQUE MAHAMMAD</t>
        </is>
      </c>
      <c r="C29" s="14" t="inlineStr">
        <is>
          <t>DENTER</t>
        </is>
      </c>
      <c r="D29" s="14" t="inlineStr">
        <is>
          <t>TN0116</t>
        </is>
      </c>
      <c r="E29" s="13" t="n">
        <v>24</v>
      </c>
      <c r="F29" s="15">
        <f>E29*8</f>
        <v/>
      </c>
      <c r="G29" s="16" t="n">
        <v>4</v>
      </c>
      <c r="H29" s="15">
        <f>F29+G29</f>
        <v/>
      </c>
      <c r="I29" s="16" t="n">
        <v>140.1</v>
      </c>
      <c r="J29" s="17">
        <f>IFERROR(I29/H29,0)</f>
        <v/>
      </c>
      <c r="K29" s="17">
        <f>MAX(0,1-J29)</f>
        <v/>
      </c>
      <c r="L29" s="18" t="n">
        <v>11967.55</v>
      </c>
      <c r="M29" s="16" t="n">
        <v>140.1</v>
      </c>
      <c r="N29" s="15">
        <f>M29+E29*2</f>
        <v/>
      </c>
      <c r="O29" s="17">
        <f>MIN(1.25,J29+15%)</f>
        <v/>
      </c>
      <c r="P29" s="17">
        <f>J29</f>
        <v/>
      </c>
      <c r="Q29" s="17">
        <f>MIN(1.25,O29*P29/90%)</f>
        <v/>
      </c>
    </row>
    <row r="30">
      <c r="A30" s="13" t="n">
        <v>25</v>
      </c>
      <c r="B30" s="14" t="inlineStr">
        <is>
          <t>MOHAMAMD RAJA</t>
        </is>
      </c>
      <c r="C30" s="14" t="inlineStr">
        <is>
          <t>PAINTER</t>
        </is>
      </c>
      <c r="D30" s="14" t="inlineStr">
        <is>
          <t>TN0121</t>
        </is>
      </c>
      <c r="E30" s="13" t="n">
        <v>23</v>
      </c>
      <c r="F30" s="15">
        <f>E30*8</f>
        <v/>
      </c>
      <c r="G30" s="16" t="n">
        <v>4</v>
      </c>
      <c r="H30" s="15">
        <f>F30+G30</f>
        <v/>
      </c>
      <c r="I30" s="16" t="n">
        <v>128.16</v>
      </c>
      <c r="J30" s="17">
        <f>IFERROR(I30/H30,0)</f>
        <v/>
      </c>
      <c r="K30" s="17">
        <f>MAX(0,1-J30)</f>
        <v/>
      </c>
      <c r="L30" s="18" t="n">
        <v>10988.68</v>
      </c>
      <c r="M30" s="16" t="n">
        <v>128.16</v>
      </c>
      <c r="N30" s="15">
        <f>M30+E30*2</f>
        <v/>
      </c>
      <c r="O30" s="17">
        <f>MIN(1.25,J30+15%)</f>
        <v/>
      </c>
      <c r="P30" s="17">
        <f>J30</f>
        <v/>
      </c>
      <c r="Q30" s="17">
        <f>MIN(1.25,O30*P30/90%)</f>
        <v/>
      </c>
    </row>
    <row r="31">
      <c r="A31" s="13" t="n">
        <v>26</v>
      </c>
      <c r="B31" s="14" t="inlineStr">
        <is>
          <t>EJAJ AHMAD</t>
        </is>
      </c>
      <c r="C31" s="14" t="inlineStr">
        <is>
          <t>DENTER</t>
        </is>
      </c>
      <c r="D31" s="14" t="inlineStr">
        <is>
          <t>TN0122</t>
        </is>
      </c>
      <c r="E31" s="13" t="n">
        <v>26</v>
      </c>
      <c r="F31" s="15">
        <f>E31*8</f>
        <v/>
      </c>
      <c r="G31" s="16" t="n">
        <v>0</v>
      </c>
      <c r="H31" s="15">
        <f>F31+G31</f>
        <v/>
      </c>
      <c r="I31" s="16" t="n">
        <v>162.46</v>
      </c>
      <c r="J31" s="17">
        <f>IFERROR(I31/H31,0)</f>
        <v/>
      </c>
      <c r="K31" s="17">
        <f>MAX(0,1-J31)</f>
        <v/>
      </c>
      <c r="L31" s="18" t="n">
        <v>13623.32</v>
      </c>
      <c r="M31" s="16" t="n">
        <v>162.46</v>
      </c>
      <c r="N31" s="15">
        <f>M31+E31*2</f>
        <v/>
      </c>
      <c r="O31" s="17">
        <f>MIN(1.25,J31+15%)</f>
        <v/>
      </c>
      <c r="P31" s="17">
        <f>J31</f>
        <v/>
      </c>
      <c r="Q31" s="17">
        <f>MIN(1.25,O31*P31/90%)</f>
        <v/>
      </c>
    </row>
    <row r="32">
      <c r="A32" s="13" t="n">
        <v>27</v>
      </c>
      <c r="B32" s="14" t="inlineStr">
        <is>
          <t>MUHAMMAD ALMAS</t>
        </is>
      </c>
      <c r="C32" s="14" t="inlineStr">
        <is>
          <t>DENTER</t>
        </is>
      </c>
      <c r="D32" s="14" t="inlineStr">
        <is>
          <t>TN0128</t>
        </is>
      </c>
      <c r="E32" s="13" t="n">
        <v>24</v>
      </c>
      <c r="F32" s="15">
        <f>E32*8</f>
        <v/>
      </c>
      <c r="G32" s="16" t="n">
        <v>2</v>
      </c>
      <c r="H32" s="15">
        <f>F32+G32</f>
        <v/>
      </c>
      <c r="I32" s="16" t="n">
        <v>111.46</v>
      </c>
      <c r="J32" s="17">
        <f>IFERROR(I32/H32,0)</f>
        <v/>
      </c>
      <c r="K32" s="17">
        <f>MAX(0,1-J32)</f>
        <v/>
      </c>
      <c r="L32" s="18" t="n">
        <v>9567.469999999999</v>
      </c>
      <c r="M32" s="16" t="n">
        <v>111.46</v>
      </c>
      <c r="N32" s="15">
        <f>M32+E32*2</f>
        <v/>
      </c>
      <c r="O32" s="17">
        <f>MIN(1.25,J32+15%)</f>
        <v/>
      </c>
      <c r="P32" s="17">
        <f>J32</f>
        <v/>
      </c>
      <c r="Q32" s="17">
        <f>MIN(1.25,O32*P32/90%)</f>
        <v/>
      </c>
    </row>
    <row r="33">
      <c r="A33" s="13" t="n">
        <v>28</v>
      </c>
      <c r="B33" s="14" t="inlineStr">
        <is>
          <t>Zeshan</t>
        </is>
      </c>
      <c r="C33" s="14" t="inlineStr">
        <is>
          <t>DENTER</t>
        </is>
      </c>
      <c r="D33" s="14" t="inlineStr">
        <is>
          <t>TN0141</t>
        </is>
      </c>
      <c r="E33" s="13" t="n">
        <v>27</v>
      </c>
      <c r="F33" s="15">
        <f>E33*8</f>
        <v/>
      </c>
      <c r="G33" s="16" t="n">
        <v>0</v>
      </c>
      <c r="H33" s="15">
        <f>F33+G33</f>
        <v/>
      </c>
      <c r="I33" s="16" t="n">
        <v>197.88</v>
      </c>
      <c r="J33" s="17">
        <f>IFERROR(I33/H33,0)</f>
        <v/>
      </c>
      <c r="K33" s="17">
        <f>MAX(0,1-J33)</f>
        <v/>
      </c>
      <c r="L33" s="18" t="n">
        <v>16933.09</v>
      </c>
      <c r="M33" s="16" t="n">
        <v>197.88</v>
      </c>
      <c r="N33" s="15">
        <f>M33+E33*2</f>
        <v/>
      </c>
      <c r="O33" s="17">
        <f>MIN(1.25,J33+15%)</f>
        <v/>
      </c>
      <c r="P33" s="17">
        <f>J33</f>
        <v/>
      </c>
      <c r="Q33" s="17">
        <f>MIN(1.25,O33*P33/90%)</f>
        <v/>
      </c>
    </row>
    <row r="34">
      <c r="A34" s="13" t="n">
        <v>29</v>
      </c>
      <c r="B34" s="14" t="inlineStr">
        <is>
          <t>SAIDAB AHAMED</t>
        </is>
      </c>
      <c r="C34" s="14" t="inlineStr">
        <is>
          <t>TYRE TECHNICIAN</t>
        </is>
      </c>
      <c r="D34" s="14" t="inlineStr">
        <is>
          <t>TN0150</t>
        </is>
      </c>
      <c r="E34" s="13" t="n">
        <v>27</v>
      </c>
      <c r="F34" s="15">
        <f>E34*8</f>
        <v/>
      </c>
      <c r="G34" s="16" t="n">
        <v>0</v>
      </c>
      <c r="H34" s="15">
        <f>F34+G34</f>
        <v/>
      </c>
      <c r="I34" s="16" t="n">
        <v>178.53</v>
      </c>
      <c r="J34" s="17">
        <f>IFERROR(I34/H34,0)</f>
        <v/>
      </c>
      <c r="K34" s="17">
        <f>MAX(0,1-J34)</f>
        <v/>
      </c>
      <c r="L34" s="18" t="n">
        <v>15549.32</v>
      </c>
      <c r="M34" s="16" t="n">
        <v>178.53</v>
      </c>
      <c r="N34" s="15">
        <f>M34+E34*2</f>
        <v/>
      </c>
      <c r="O34" s="17">
        <f>MIN(1.25,J34+15%)</f>
        <v/>
      </c>
      <c r="P34" s="17">
        <f>J34</f>
        <v/>
      </c>
      <c r="Q34" s="17">
        <f>MIN(1.25,O34*P34/90%)</f>
        <v/>
      </c>
    </row>
    <row r="35">
      <c r="A35" s="13" t="n">
        <v>30</v>
      </c>
      <c r="B35" s="14" t="inlineStr">
        <is>
          <t>FRANCIS AGEWI</t>
        </is>
      </c>
      <c r="C35" s="14" t="inlineStr">
        <is>
          <t>MECHANIC</t>
        </is>
      </c>
      <c r="D35" s="14" t="inlineStr">
        <is>
          <t>TN0171</t>
        </is>
      </c>
      <c r="E35" s="13" t="n">
        <v>27</v>
      </c>
      <c r="F35" s="15">
        <f>E35*8</f>
        <v/>
      </c>
      <c r="G35" s="16" t="n">
        <v>2</v>
      </c>
      <c r="H35" s="15">
        <f>F35+G35</f>
        <v/>
      </c>
      <c r="I35" s="16" t="n">
        <v>196.97</v>
      </c>
      <c r="J35" s="17">
        <f>IFERROR(I35/H35,0)</f>
        <v/>
      </c>
      <c r="K35" s="17">
        <f>MAX(0,1-J35)</f>
        <v/>
      </c>
      <c r="L35" s="18" t="n">
        <v>16703.56</v>
      </c>
      <c r="M35" s="16" t="n">
        <v>196.97</v>
      </c>
      <c r="N35" s="15">
        <f>M35+E35*2</f>
        <v/>
      </c>
      <c r="O35" s="17">
        <f>MIN(1.25,J35+15%)</f>
        <v/>
      </c>
      <c r="P35" s="17">
        <f>J35</f>
        <v/>
      </c>
      <c r="Q35" s="17">
        <f>MIN(1.25,O35*P35/90%)</f>
        <v/>
      </c>
    </row>
    <row r="36">
      <c r="A36" s="13" t="n">
        <v>31</v>
      </c>
      <c r="B36" s="14" t="inlineStr">
        <is>
          <t>Ally Ibrahim</t>
        </is>
      </c>
      <c r="C36" s="14" t="inlineStr">
        <is>
          <t>DENTER</t>
        </is>
      </c>
      <c r="D36" s="14" t="inlineStr">
        <is>
          <t>TN0180</t>
        </is>
      </c>
      <c r="E36" s="13" t="n">
        <v>16</v>
      </c>
      <c r="F36" s="15">
        <f>E36*8</f>
        <v/>
      </c>
      <c r="G36" s="16" t="n">
        <v>2</v>
      </c>
      <c r="H36" s="15">
        <f>F36+G36</f>
        <v/>
      </c>
      <c r="I36" s="16" t="n">
        <v>38.63</v>
      </c>
      <c r="J36" s="17">
        <f>IFERROR(I36/H36,0)</f>
        <v/>
      </c>
      <c r="K36" s="17">
        <f>MAX(0,1-J36)</f>
        <v/>
      </c>
      <c r="L36" s="18" t="n">
        <v>3320.71</v>
      </c>
      <c r="M36" s="16" t="n">
        <v>38.63</v>
      </c>
      <c r="N36" s="15">
        <f>M36+E36*2</f>
        <v/>
      </c>
      <c r="O36" s="17">
        <f>MIN(1.25,J36+15%)</f>
        <v/>
      </c>
      <c r="P36" s="17">
        <f>J36</f>
        <v/>
      </c>
      <c r="Q36" s="17">
        <f>MIN(1.25,O36*P36/90%)</f>
        <v/>
      </c>
    </row>
    <row r="37">
      <c r="A37" s="13" t="n">
        <v>32</v>
      </c>
      <c r="B37" s="14" t="inlineStr">
        <is>
          <t>RATHEETH PANICHOTH</t>
        </is>
      </c>
      <c r="C37" s="14" t="inlineStr">
        <is>
          <t>ELECTRICIAN</t>
        </is>
      </c>
      <c r="D37" s="14" t="inlineStr">
        <is>
          <t>TN0181</t>
        </is>
      </c>
      <c r="E37" s="13" t="n">
        <v>27</v>
      </c>
      <c r="F37" s="15">
        <f>E37*8</f>
        <v/>
      </c>
      <c r="G37" s="16" t="n">
        <v>0</v>
      </c>
      <c r="H37" s="15">
        <f>F37+G37</f>
        <v/>
      </c>
      <c r="I37" s="16" t="n">
        <v>159.7</v>
      </c>
      <c r="J37" s="17">
        <f>IFERROR(I37/H37,0)</f>
        <v/>
      </c>
      <c r="K37" s="17">
        <f>MAX(0,1-J37)</f>
        <v/>
      </c>
      <c r="L37" s="18" t="n">
        <v>13784.43</v>
      </c>
      <c r="M37" s="16" t="n">
        <v>159.7</v>
      </c>
      <c r="N37" s="15">
        <f>M37+E37*2</f>
        <v/>
      </c>
      <c r="O37" s="17">
        <f>MIN(1.25,J37+15%)</f>
        <v/>
      </c>
      <c r="P37" s="17">
        <f>J37</f>
        <v/>
      </c>
      <c r="Q37" s="17">
        <f>MIN(1.25,O37*P37/90%)</f>
        <v/>
      </c>
    </row>
    <row r="38">
      <c r="A38" s="13" t="n">
        <v>33</v>
      </c>
      <c r="B38" s="14" t="inlineStr">
        <is>
          <t>MARK KAYIGO</t>
        </is>
      </c>
      <c r="C38" s="14" t="inlineStr">
        <is>
          <t>MECHANIC</t>
        </is>
      </c>
      <c r="D38" s="14" t="inlineStr">
        <is>
          <t>TN0182</t>
        </is>
      </c>
      <c r="E38" s="13" t="n">
        <v>25</v>
      </c>
      <c r="F38" s="15">
        <f>E38*8</f>
        <v/>
      </c>
      <c r="G38" s="16" t="n">
        <v>0</v>
      </c>
      <c r="H38" s="15">
        <f>F38+G38</f>
        <v/>
      </c>
      <c r="I38" s="16" t="n">
        <v>172.16</v>
      </c>
      <c r="J38" s="17">
        <f>IFERROR(I38/H38,0)</f>
        <v/>
      </c>
      <c r="K38" s="17">
        <f>MAX(0,1-J38)</f>
        <v/>
      </c>
      <c r="L38" s="18" t="n">
        <v>14980.14</v>
      </c>
      <c r="M38" s="16" t="n">
        <v>172.16</v>
      </c>
      <c r="N38" s="15">
        <f>M38+E38*2</f>
        <v/>
      </c>
      <c r="O38" s="17">
        <f>MIN(1.25,J38+15%)</f>
        <v/>
      </c>
      <c r="P38" s="17">
        <f>J38</f>
        <v/>
      </c>
      <c r="Q38" s="17">
        <f>MIN(1.25,O38*P38/90%)</f>
        <v/>
      </c>
    </row>
    <row r="39">
      <c r="A39" s="13" t="n">
        <v>34</v>
      </c>
      <c r="B39" s="14" t="inlineStr">
        <is>
          <t>ENAYAT SHAIKH ALI SHAIKH</t>
        </is>
      </c>
      <c r="C39" s="14" t="inlineStr">
        <is>
          <t>PAINTER</t>
        </is>
      </c>
      <c r="D39" s="14" t="inlineStr">
        <is>
          <t>TN0185</t>
        </is>
      </c>
      <c r="E39" s="13" t="n">
        <v>24</v>
      </c>
      <c r="F39" s="15">
        <f>E39*8</f>
        <v/>
      </c>
      <c r="G39" s="16" t="n">
        <v>0</v>
      </c>
      <c r="H39" s="15">
        <f>F39+G39</f>
        <v/>
      </c>
      <c r="I39" s="16" t="n">
        <v>133.21</v>
      </c>
      <c r="J39" s="17">
        <f>IFERROR(I39/H39,0)</f>
        <v/>
      </c>
      <c r="K39" s="17">
        <f>MAX(0,1-J39)</f>
        <v/>
      </c>
      <c r="L39" s="18" t="n">
        <v>11385.41</v>
      </c>
      <c r="M39" s="16" t="n">
        <v>133.21</v>
      </c>
      <c r="N39" s="15">
        <f>M39+E39*2</f>
        <v/>
      </c>
      <c r="O39" s="17">
        <f>MIN(1.25,J39+15%)</f>
        <v/>
      </c>
      <c r="P39" s="17">
        <f>J39</f>
        <v/>
      </c>
      <c r="Q39" s="17">
        <f>MIN(1.25,O39*P39/90%)</f>
        <v/>
      </c>
    </row>
    <row r="40">
      <c r="A40" s="13" t="n">
        <v>35</v>
      </c>
      <c r="B40" s="14" t="inlineStr">
        <is>
          <t>WAQAS GUL KHAN</t>
        </is>
      </c>
      <c r="C40" s="14" t="inlineStr">
        <is>
          <t>PAINTER</t>
        </is>
      </c>
      <c r="D40" s="14" t="inlineStr">
        <is>
          <t>TN0186</t>
        </is>
      </c>
      <c r="E40" s="13" t="n">
        <v>24</v>
      </c>
      <c r="F40" s="15">
        <f>E40*8</f>
        <v/>
      </c>
      <c r="G40" s="16" t="n">
        <v>0</v>
      </c>
      <c r="H40" s="15">
        <f>F40+G40</f>
        <v/>
      </c>
      <c r="I40" s="16" t="n">
        <v>159.98</v>
      </c>
      <c r="J40" s="17">
        <f>IFERROR(I40/H40,0)</f>
        <v/>
      </c>
      <c r="K40" s="17">
        <f>MAX(0,1-J40)</f>
        <v/>
      </c>
      <c r="L40" s="18" t="n">
        <v>13769.56</v>
      </c>
      <c r="M40" s="16" t="n">
        <v>159.98</v>
      </c>
      <c r="N40" s="15">
        <f>M40+E40*2</f>
        <v/>
      </c>
      <c r="O40" s="17">
        <f>MIN(1.25,J40+15%)</f>
        <v/>
      </c>
      <c r="P40" s="17">
        <f>J40</f>
        <v/>
      </c>
      <c r="Q40" s="17">
        <f>MIN(1.25,O40*P40/90%)</f>
        <v/>
      </c>
    </row>
    <row r="41">
      <c r="A41" s="13" t="n">
        <v>36</v>
      </c>
      <c r="B41" s="14" t="inlineStr">
        <is>
          <t>FARHAN AHAMAD</t>
        </is>
      </c>
      <c r="C41" s="14" t="inlineStr">
        <is>
          <t>MECHANIC</t>
        </is>
      </c>
      <c r="D41" s="14" t="inlineStr">
        <is>
          <t>TN0187</t>
        </is>
      </c>
      <c r="E41" s="13" t="n">
        <v>26</v>
      </c>
      <c r="F41" s="15">
        <f>E41*8</f>
        <v/>
      </c>
      <c r="G41" s="16" t="n">
        <v>2</v>
      </c>
      <c r="H41" s="15">
        <f>F41+G41</f>
        <v/>
      </c>
      <c r="I41" s="16" t="n">
        <v>184.46</v>
      </c>
      <c r="J41" s="17">
        <f>IFERROR(I41/H41,0)</f>
        <v/>
      </c>
      <c r="K41" s="17">
        <f>MAX(0,1-J41)</f>
        <v/>
      </c>
      <c r="L41" s="18" t="n">
        <v>15930.65</v>
      </c>
      <c r="M41" s="16" t="n">
        <v>184.46</v>
      </c>
      <c r="N41" s="15">
        <f>M41+E41*2</f>
        <v/>
      </c>
      <c r="O41" s="17">
        <f>MIN(1.25,J41+15%)</f>
        <v/>
      </c>
      <c r="P41" s="17">
        <f>J41</f>
        <v/>
      </c>
      <c r="Q41" s="17">
        <f>MIN(1.25,O41*P41/90%)</f>
        <v/>
      </c>
    </row>
    <row r="42">
      <c r="A42" s="13" t="n">
        <v>37</v>
      </c>
      <c r="B42" s="14" t="inlineStr">
        <is>
          <t>ABDELILAH BOUDINA</t>
        </is>
      </c>
      <c r="C42" s="14" t="inlineStr">
        <is>
          <t>PAINTER</t>
        </is>
      </c>
      <c r="D42" s="14" t="inlineStr">
        <is>
          <t>TN0201</t>
        </is>
      </c>
      <c r="E42" s="13" t="n">
        <v>1</v>
      </c>
      <c r="F42" s="15">
        <f>E42*8</f>
        <v/>
      </c>
      <c r="G42" s="16" t="n">
        <v>0</v>
      </c>
      <c r="H42" s="15">
        <f>F42+G42</f>
        <v/>
      </c>
      <c r="I42" s="16" t="n">
        <v>0.64</v>
      </c>
      <c r="J42" s="17">
        <f>IFERROR(I42/H42,0)</f>
        <v/>
      </c>
      <c r="K42" s="17">
        <f>MAX(0,1-J42)</f>
        <v/>
      </c>
      <c r="L42" s="18" t="n">
        <v>54.25</v>
      </c>
      <c r="M42" s="16" t="n">
        <v>0.64</v>
      </c>
      <c r="N42" s="15">
        <f>M42+E42*2</f>
        <v/>
      </c>
      <c r="O42" s="17">
        <f>MIN(1.25,J42+15%)</f>
        <v/>
      </c>
      <c r="P42" s="17">
        <f>J42</f>
        <v/>
      </c>
      <c r="Q42" s="17">
        <f>MIN(1.25,O42*P42/90%)</f>
        <v/>
      </c>
    </row>
    <row r="43">
      <c r="A43" s="13" t="n">
        <v>38</v>
      </c>
      <c r="B43" s="14" t="inlineStr">
        <is>
          <t>Jerin Kurian Varghese</t>
        </is>
      </c>
      <c r="C43" s="14" t="inlineStr">
        <is>
          <t>MECHANIC</t>
        </is>
      </c>
      <c r="D43" s="14" t="inlineStr">
        <is>
          <t>TN0204</t>
        </is>
      </c>
      <c r="E43" s="13" t="n">
        <v>24</v>
      </c>
      <c r="F43" s="15">
        <f>E43*8</f>
        <v/>
      </c>
      <c r="G43" s="16" t="n">
        <v>0</v>
      </c>
      <c r="H43" s="15">
        <f>F43+G43</f>
        <v/>
      </c>
      <c r="I43" s="16" t="n">
        <v>162.38</v>
      </c>
      <c r="J43" s="17">
        <f>IFERROR(I43/H43,0)</f>
        <v/>
      </c>
      <c r="K43" s="17">
        <f>MAX(0,1-J43)</f>
        <v/>
      </c>
      <c r="L43" s="18" t="n">
        <v>14142.33</v>
      </c>
      <c r="M43" s="16" t="n">
        <v>162.38</v>
      </c>
      <c r="N43" s="15">
        <f>M43+E43*2</f>
        <v/>
      </c>
      <c r="O43" s="17">
        <f>MIN(1.25,J43+15%)</f>
        <v/>
      </c>
      <c r="P43" s="17">
        <f>J43</f>
        <v/>
      </c>
      <c r="Q43" s="17">
        <f>MIN(1.25,O43*P43/90%)</f>
        <v/>
      </c>
    </row>
    <row r="44">
      <c r="A44" s="13" t="n">
        <v>39</v>
      </c>
      <c r="B44" s="14" t="inlineStr">
        <is>
          <t>Mohammed Monjur</t>
        </is>
      </c>
      <c r="C44" s="14" t="inlineStr">
        <is>
          <t>MECHANIC</t>
        </is>
      </c>
      <c r="D44" s="14" t="inlineStr">
        <is>
          <t>TN0209</t>
        </is>
      </c>
      <c r="E44" s="13" t="n">
        <v>27</v>
      </c>
      <c r="F44" s="15">
        <f>E44*8</f>
        <v/>
      </c>
      <c r="G44" s="16" t="n">
        <v>0</v>
      </c>
      <c r="H44" s="15">
        <f>F44+G44</f>
        <v/>
      </c>
      <c r="I44" s="16" t="n">
        <v>188.18</v>
      </c>
      <c r="J44" s="17">
        <f>IFERROR(I44/H44,0)</f>
        <v/>
      </c>
      <c r="K44" s="17">
        <f>MAX(0,1-J44)</f>
        <v/>
      </c>
      <c r="L44" s="18" t="n">
        <v>16022.73</v>
      </c>
      <c r="M44" s="16" t="n">
        <v>188.18</v>
      </c>
      <c r="N44" s="15">
        <f>M44+E44*2</f>
        <v/>
      </c>
      <c r="O44" s="17">
        <f>MIN(1.25,J44+15%)</f>
        <v/>
      </c>
      <c r="P44" s="17">
        <f>J44</f>
        <v/>
      </c>
      <c r="Q44" s="17">
        <f>MIN(1.25,O44*P44/90%)</f>
        <v/>
      </c>
    </row>
    <row r="45">
      <c r="A45" s="13" t="n">
        <v>40</v>
      </c>
      <c r="B45" s="14" t="inlineStr">
        <is>
          <t>ZEGER HAYAT MOHAMMAD ZA</t>
        </is>
      </c>
      <c r="C45" s="14" t="inlineStr">
        <is>
          <t>MECHANIC</t>
        </is>
      </c>
      <c r="D45" s="14" t="inlineStr">
        <is>
          <t>TN0210</t>
        </is>
      </c>
      <c r="E45" s="13" t="n">
        <v>27</v>
      </c>
      <c r="F45" s="15">
        <f>E45*8</f>
        <v/>
      </c>
      <c r="G45" s="16" t="n">
        <v>2</v>
      </c>
      <c r="H45" s="15">
        <f>F45+G45</f>
        <v/>
      </c>
      <c r="I45" s="16" t="n">
        <v>147.95</v>
      </c>
      <c r="J45" s="17">
        <f>IFERROR(I45/H45,0)</f>
        <v/>
      </c>
      <c r="K45" s="17">
        <f>MAX(0,1-J45)</f>
        <v/>
      </c>
      <c r="L45" s="18" t="n">
        <v>12460.28</v>
      </c>
      <c r="M45" s="16" t="n">
        <v>147.95</v>
      </c>
      <c r="N45" s="15">
        <f>M45+E45*2</f>
        <v/>
      </c>
      <c r="O45" s="17">
        <f>MIN(1.25,J45+15%)</f>
        <v/>
      </c>
      <c r="P45" s="17">
        <f>J45</f>
        <v/>
      </c>
      <c r="Q45" s="17">
        <f>MIN(1.25,O45*P45/90%)</f>
        <v/>
      </c>
    </row>
    <row r="46">
      <c r="A46" s="13" t="n">
        <v>41</v>
      </c>
      <c r="B46" s="14" t="inlineStr">
        <is>
          <t>BIJU M UNNI</t>
        </is>
      </c>
      <c r="C46" s="14" t="inlineStr">
        <is>
          <t>PAINTER</t>
        </is>
      </c>
      <c r="D46" s="14" t="inlineStr">
        <is>
          <t>TN0220</t>
        </is>
      </c>
      <c r="E46" s="13" t="n">
        <v>27</v>
      </c>
      <c r="F46" s="15">
        <f>E46*8</f>
        <v/>
      </c>
      <c r="G46" s="16" t="n">
        <v>0</v>
      </c>
      <c r="H46" s="15">
        <f>F46+G46</f>
        <v/>
      </c>
      <c r="I46" s="16" t="n">
        <v>115.16</v>
      </c>
      <c r="J46" s="17">
        <f>IFERROR(I46/H46,0)</f>
        <v/>
      </c>
      <c r="K46" s="17">
        <f>MAX(0,1-J46)</f>
        <v/>
      </c>
      <c r="L46" s="18" t="n">
        <v>9794.83</v>
      </c>
      <c r="M46" s="16" t="n">
        <v>115.16</v>
      </c>
      <c r="N46" s="15">
        <f>M46+E46*2</f>
        <v/>
      </c>
      <c r="O46" s="17">
        <f>MIN(1.25,J46+15%)</f>
        <v/>
      </c>
      <c r="P46" s="17">
        <f>J46</f>
        <v/>
      </c>
      <c r="Q46" s="17">
        <f>MIN(1.25,O46*P46/90%)</f>
        <v/>
      </c>
    </row>
    <row r="47">
      <c r="A47" s="13" t="n">
        <v>42</v>
      </c>
      <c r="B47" s="14" t="inlineStr">
        <is>
          <t>DIBAKAR SAHOO MURALDHAR</t>
        </is>
      </c>
      <c r="C47" s="14" t="inlineStr">
        <is>
          <t>PAINTER</t>
        </is>
      </c>
      <c r="D47" s="14" t="inlineStr">
        <is>
          <t>TN0222</t>
        </is>
      </c>
      <c r="E47" s="13" t="n">
        <v>26</v>
      </c>
      <c r="F47" s="15">
        <f>E47*8</f>
        <v/>
      </c>
      <c r="G47" s="16" t="n">
        <v>0</v>
      </c>
      <c r="H47" s="15">
        <f>F47+G47</f>
        <v/>
      </c>
      <c r="I47" s="16" t="n">
        <v>168.99</v>
      </c>
      <c r="J47" s="17">
        <f>IFERROR(I47/H47,0)</f>
        <v/>
      </c>
      <c r="K47" s="17">
        <f>MAX(0,1-J47)</f>
        <v/>
      </c>
      <c r="L47" s="18" t="n">
        <v>14711.53</v>
      </c>
      <c r="M47" s="16" t="n">
        <v>168.99</v>
      </c>
      <c r="N47" s="15">
        <f>M47+E47*2</f>
        <v/>
      </c>
      <c r="O47" s="17">
        <f>MIN(1.25,J47+15%)</f>
        <v/>
      </c>
      <c r="P47" s="17">
        <f>J47</f>
        <v/>
      </c>
      <c r="Q47" s="17">
        <f>MIN(1.25,O47*P47/90%)</f>
        <v/>
      </c>
    </row>
    <row r="48">
      <c r="A48" s="13" t="n">
        <v>43</v>
      </c>
      <c r="B48" s="14" t="inlineStr">
        <is>
          <t>SHAIKH MUSTAQUE ALI</t>
        </is>
      </c>
      <c r="C48" s="14" t="inlineStr">
        <is>
          <t>DENTER</t>
        </is>
      </c>
      <c r="D48" s="14" t="inlineStr">
        <is>
          <t>TN0224</t>
        </is>
      </c>
      <c r="E48" s="13" t="n">
        <v>26</v>
      </c>
      <c r="F48" s="15">
        <f>E48*8</f>
        <v/>
      </c>
      <c r="G48" s="16" t="n">
        <v>0</v>
      </c>
      <c r="H48" s="15">
        <f>F48+G48</f>
        <v/>
      </c>
      <c r="I48" s="16" t="n">
        <v>160.42</v>
      </c>
      <c r="J48" s="17">
        <f>IFERROR(I48/H48,0)</f>
        <v/>
      </c>
      <c r="K48" s="17">
        <f>MAX(0,1-J48)</f>
        <v/>
      </c>
      <c r="L48" s="18" t="n">
        <v>13622.92</v>
      </c>
      <c r="M48" s="16" t="n">
        <v>160.42</v>
      </c>
      <c r="N48" s="15">
        <f>M48+E48*2</f>
        <v/>
      </c>
      <c r="O48" s="17">
        <f>MIN(1.25,J48+15%)</f>
        <v/>
      </c>
      <c r="P48" s="17">
        <f>J48</f>
        <v/>
      </c>
      <c r="Q48" s="17">
        <f>MIN(1.25,O48*P48/90%)</f>
        <v/>
      </c>
    </row>
    <row r="49">
      <c r="A49" s="13" t="n">
        <v>44</v>
      </c>
      <c r="B49" s="14" t="inlineStr">
        <is>
          <t>ZEESHAN IHSAN ULLAH</t>
        </is>
      </c>
      <c r="C49" s="14" t="inlineStr">
        <is>
          <t>DENTER</t>
        </is>
      </c>
      <c r="D49" s="14" t="inlineStr">
        <is>
          <t>TN0226</t>
        </is>
      </c>
      <c r="E49" s="13" t="n">
        <v>27</v>
      </c>
      <c r="F49" s="15">
        <f>E49*8</f>
        <v/>
      </c>
      <c r="G49" s="16" t="n">
        <v>2</v>
      </c>
      <c r="H49" s="15">
        <f>F49+G49</f>
        <v/>
      </c>
      <c r="I49" s="16" t="n">
        <v>187.53</v>
      </c>
      <c r="J49" s="17">
        <f>IFERROR(I49/H49,0)</f>
        <v/>
      </c>
      <c r="K49" s="17">
        <f>MAX(0,1-J49)</f>
        <v/>
      </c>
      <c r="L49" s="18" t="n">
        <v>15932.03</v>
      </c>
      <c r="M49" s="16" t="n">
        <v>187.53</v>
      </c>
      <c r="N49" s="15">
        <f>M49+E49*2</f>
        <v/>
      </c>
      <c r="O49" s="17">
        <f>MIN(1.25,J49+15%)</f>
        <v/>
      </c>
      <c r="P49" s="17">
        <f>J49</f>
        <v/>
      </c>
      <c r="Q49" s="17">
        <f>MIN(1.25,O49*P49/90%)</f>
        <v/>
      </c>
    </row>
    <row r="50">
      <c r="A50" s="13" t="n">
        <v>45</v>
      </c>
      <c r="B50" s="14" t="inlineStr">
        <is>
          <t>MIR EJAJ ALI</t>
        </is>
      </c>
      <c r="C50" s="14" t="inlineStr">
        <is>
          <t>PAINTER</t>
        </is>
      </c>
      <c r="D50" s="14" t="inlineStr">
        <is>
          <t>TN0227</t>
        </is>
      </c>
      <c r="E50" s="13" t="n">
        <v>20</v>
      </c>
      <c r="F50" s="15">
        <f>E50*8</f>
        <v/>
      </c>
      <c r="G50" s="16" t="n">
        <v>2</v>
      </c>
      <c r="H50" s="15">
        <f>F50+G50</f>
        <v/>
      </c>
      <c r="I50" s="16" t="n">
        <v>113.62</v>
      </c>
      <c r="J50" s="17">
        <f>IFERROR(I50/H50,0)</f>
        <v/>
      </c>
      <c r="K50" s="17">
        <f>MAX(0,1-J50)</f>
        <v/>
      </c>
      <c r="L50" s="18" t="n">
        <v>9458.549999999999</v>
      </c>
      <c r="M50" s="16" t="n">
        <v>113.62</v>
      </c>
      <c r="N50" s="15">
        <f>M50+E50*2</f>
        <v/>
      </c>
      <c r="O50" s="17">
        <f>MIN(1.25,J50+15%)</f>
        <v/>
      </c>
      <c r="P50" s="17">
        <f>J50</f>
        <v/>
      </c>
      <c r="Q50" s="17">
        <f>MIN(1.25,O50*P50/90%)</f>
        <v/>
      </c>
    </row>
    <row r="51">
      <c r="A51" s="13" t="n">
        <v>46</v>
      </c>
      <c r="B51" s="14" t="inlineStr">
        <is>
          <t>SAMUEL</t>
        </is>
      </c>
      <c r="C51" s="14" t="inlineStr">
        <is>
          <t>MECHANIC</t>
        </is>
      </c>
      <c r="D51" s="14" t="inlineStr">
        <is>
          <t>TN0235</t>
        </is>
      </c>
      <c r="E51" s="13" t="n">
        <v>24</v>
      </c>
      <c r="F51" s="15">
        <f>E51*8</f>
        <v/>
      </c>
      <c r="G51" s="16" t="n">
        <v>0</v>
      </c>
      <c r="H51" s="15">
        <f>F51+G51</f>
        <v/>
      </c>
      <c r="I51" s="16" t="n">
        <v>140.49</v>
      </c>
      <c r="J51" s="17">
        <f>IFERROR(I51/H51,0)</f>
        <v/>
      </c>
      <c r="K51" s="17">
        <f>MAX(0,1-J51)</f>
        <v/>
      </c>
      <c r="L51" s="18" t="n">
        <v>11818.52</v>
      </c>
      <c r="M51" s="16" t="n">
        <v>140.49</v>
      </c>
      <c r="N51" s="15">
        <f>M51+E51*2</f>
        <v/>
      </c>
      <c r="O51" s="17">
        <f>MIN(1.25,J51+15%)</f>
        <v/>
      </c>
      <c r="P51" s="17">
        <f>J51</f>
        <v/>
      </c>
      <c r="Q51" s="17">
        <f>MIN(1.25,O51*P51/90%)</f>
        <v/>
      </c>
    </row>
    <row r="52">
      <c r="A52" s="13" t="n">
        <v>47</v>
      </c>
      <c r="B52" s="14" t="inlineStr">
        <is>
          <t>BILAL KHAN</t>
        </is>
      </c>
      <c r="C52" s="14" t="inlineStr">
        <is>
          <t>DENTER</t>
        </is>
      </c>
      <c r="D52" s="14" t="inlineStr">
        <is>
          <t>TN0236</t>
        </is>
      </c>
      <c r="E52" s="13" t="n">
        <v>27</v>
      </c>
      <c r="F52" s="15">
        <f>E52*8</f>
        <v/>
      </c>
      <c r="G52" s="16" t="n">
        <v>0</v>
      </c>
      <c r="H52" s="15">
        <f>F52+G52</f>
        <v/>
      </c>
      <c r="I52" s="16" t="n">
        <v>173.51</v>
      </c>
      <c r="J52" s="17">
        <f>IFERROR(I52/H52,0)</f>
        <v/>
      </c>
      <c r="K52" s="17">
        <f>MAX(0,1-J52)</f>
        <v/>
      </c>
      <c r="L52" s="18" t="n">
        <v>14872.3</v>
      </c>
      <c r="M52" s="16" t="n">
        <v>173.51</v>
      </c>
      <c r="N52" s="15">
        <f>M52+E52*2</f>
        <v/>
      </c>
      <c r="O52" s="17">
        <f>MIN(1.25,J52+15%)</f>
        <v/>
      </c>
      <c r="P52" s="17">
        <f>J52</f>
        <v/>
      </c>
      <c r="Q52" s="17">
        <f>MIN(1.25,O52*P52/90%)</f>
        <v/>
      </c>
    </row>
    <row r="53">
      <c r="A53" s="13" t="n">
        <v>48</v>
      </c>
      <c r="B53" s="14" t="inlineStr">
        <is>
          <t>Mohammad Habib Raza</t>
        </is>
      </c>
      <c r="C53" s="14" t="inlineStr">
        <is>
          <t>MECHANIC</t>
        </is>
      </c>
      <c r="D53" s="14" t="inlineStr">
        <is>
          <t>TN0238</t>
        </is>
      </c>
      <c r="E53" s="13" t="n">
        <v>27</v>
      </c>
      <c r="F53" s="15">
        <f>E53*8</f>
        <v/>
      </c>
      <c r="G53" s="16" t="n">
        <v>0</v>
      </c>
      <c r="H53" s="15">
        <f>F53+G53</f>
        <v/>
      </c>
      <c r="I53" s="16" t="n">
        <v>204.3</v>
      </c>
      <c r="J53" s="17">
        <f>IFERROR(I53/H53,0)</f>
        <v/>
      </c>
      <c r="K53" s="17">
        <f>MAX(0,1-J53)</f>
        <v/>
      </c>
      <c r="L53" s="18" t="n">
        <v>17557.45</v>
      </c>
      <c r="M53" s="16" t="n">
        <v>204.3</v>
      </c>
      <c r="N53" s="15">
        <f>M53+E53*2</f>
        <v/>
      </c>
      <c r="O53" s="17">
        <f>MIN(1.25,J53+15%)</f>
        <v/>
      </c>
      <c r="P53" s="17">
        <f>J53</f>
        <v/>
      </c>
      <c r="Q53" s="17">
        <f>MIN(1.25,O53*P53/90%)</f>
        <v/>
      </c>
    </row>
    <row r="54">
      <c r="A54" s="13" t="n">
        <v>49</v>
      </c>
      <c r="B54" s="14" t="inlineStr">
        <is>
          <t>HAMEED ANIYAMPARAMBIL</t>
        </is>
      </c>
      <c r="C54" s="14" t="inlineStr">
        <is>
          <t>MECHANIC</t>
        </is>
      </c>
      <c r="D54" s="14" t="inlineStr">
        <is>
          <t>TN0239</t>
        </is>
      </c>
      <c r="E54" s="13" t="n">
        <v>26</v>
      </c>
      <c r="F54" s="15">
        <f>E54*8</f>
        <v/>
      </c>
      <c r="G54" s="16" t="n">
        <v>0</v>
      </c>
      <c r="H54" s="15">
        <f>F54+G54</f>
        <v/>
      </c>
      <c r="I54" s="16" t="n">
        <v>116.45</v>
      </c>
      <c r="J54" s="17">
        <f>IFERROR(I54/H54,0)</f>
        <v/>
      </c>
      <c r="K54" s="17">
        <f>MAX(0,1-J54)</f>
        <v/>
      </c>
      <c r="L54" s="18" t="n">
        <v>10043.37</v>
      </c>
      <c r="M54" s="16" t="n">
        <v>116.45</v>
      </c>
      <c r="N54" s="15">
        <f>M54+E54*2</f>
        <v/>
      </c>
      <c r="O54" s="17">
        <f>MIN(1.25,J54+15%)</f>
        <v/>
      </c>
      <c r="P54" s="17">
        <f>J54</f>
        <v/>
      </c>
      <c r="Q54" s="17">
        <f>MIN(1.25,O54*P54/90%)</f>
        <v/>
      </c>
    </row>
    <row r="55">
      <c r="A55" s="13" t="n">
        <v>50</v>
      </c>
      <c r="B55" s="14" t="inlineStr">
        <is>
          <t>AMIR HUSSAIN MUHAMMED</t>
        </is>
      </c>
      <c r="C55" s="14" t="inlineStr">
        <is>
          <t>MECHANIC</t>
        </is>
      </c>
      <c r="D55" s="14" t="inlineStr">
        <is>
          <t>TN0241</t>
        </is>
      </c>
      <c r="E55" s="13" t="n">
        <v>25</v>
      </c>
      <c r="F55" s="15">
        <f>E55*8</f>
        <v/>
      </c>
      <c r="G55" s="16" t="n">
        <v>0</v>
      </c>
      <c r="H55" s="15">
        <f>F55+G55</f>
        <v/>
      </c>
      <c r="I55" s="16" t="n">
        <v>175.17</v>
      </c>
      <c r="J55" s="17">
        <f>IFERROR(I55/H55,0)</f>
        <v/>
      </c>
      <c r="K55" s="17">
        <f>MAX(0,1-J55)</f>
        <v/>
      </c>
      <c r="L55" s="18" t="n">
        <v>14573.21</v>
      </c>
      <c r="M55" s="16" t="n">
        <v>175.17</v>
      </c>
      <c r="N55" s="15">
        <f>M55+E55*2</f>
        <v/>
      </c>
      <c r="O55" s="17">
        <f>MIN(1.25,J55+15%)</f>
        <v/>
      </c>
      <c r="P55" s="17">
        <f>J55</f>
        <v/>
      </c>
      <c r="Q55" s="17">
        <f>MIN(1.25,O55*P55/90%)</f>
        <v/>
      </c>
    </row>
    <row r="56">
      <c r="A56" s="13" t="n">
        <v>51</v>
      </c>
      <c r="B56" s="14" t="inlineStr">
        <is>
          <t>LUBAB UDDIN</t>
        </is>
      </c>
      <c r="C56" s="14" t="inlineStr">
        <is>
          <t>DENTER</t>
        </is>
      </c>
      <c r="D56" s="14" t="inlineStr">
        <is>
          <t>TN0242</t>
        </is>
      </c>
      <c r="E56" s="13" t="n">
        <v>23</v>
      </c>
      <c r="F56" s="15">
        <f>E56*8</f>
        <v/>
      </c>
      <c r="G56" s="16" t="n">
        <v>0</v>
      </c>
      <c r="H56" s="15">
        <f>F56+G56</f>
        <v/>
      </c>
      <c r="I56" s="16" t="n">
        <v>124.56</v>
      </c>
      <c r="J56" s="17">
        <f>IFERROR(I56/H56,0)</f>
        <v/>
      </c>
      <c r="K56" s="17">
        <f>MAX(0,1-J56)</f>
        <v/>
      </c>
      <c r="L56" s="18" t="n">
        <v>10394.92</v>
      </c>
      <c r="M56" s="16" t="n">
        <v>124.56</v>
      </c>
      <c r="N56" s="15">
        <f>M56+E56*2</f>
        <v/>
      </c>
      <c r="O56" s="17">
        <f>MIN(1.25,J56+15%)</f>
        <v/>
      </c>
      <c r="P56" s="17">
        <f>J56</f>
        <v/>
      </c>
      <c r="Q56" s="17">
        <f>MIN(1.25,O56*P56/90%)</f>
        <v/>
      </c>
    </row>
    <row r="57">
      <c r="A57" s="13" t="n">
        <v>52</v>
      </c>
      <c r="B57" s="14" t="inlineStr">
        <is>
          <t>MOHAMMED ALI</t>
        </is>
      </c>
      <c r="C57" s="14" t="inlineStr">
        <is>
          <t>DENTER</t>
        </is>
      </c>
      <c r="D57" s="14" t="inlineStr">
        <is>
          <t>TN0244</t>
        </is>
      </c>
      <c r="E57" s="13" t="n">
        <v>25</v>
      </c>
      <c r="F57" s="15">
        <f>E57*8</f>
        <v/>
      </c>
      <c r="G57" s="16" t="n">
        <v>2</v>
      </c>
      <c r="H57" s="15">
        <f>F57+G57</f>
        <v/>
      </c>
      <c r="I57" s="16" t="n">
        <v>145.33</v>
      </c>
      <c r="J57" s="17">
        <f>IFERROR(I57/H57,0)</f>
        <v/>
      </c>
      <c r="K57" s="17">
        <f>MAX(0,1-J57)</f>
        <v/>
      </c>
      <c r="L57" s="18" t="n">
        <v>12314.16</v>
      </c>
      <c r="M57" s="16" t="n">
        <v>145.33</v>
      </c>
      <c r="N57" s="15">
        <f>M57+E57*2</f>
        <v/>
      </c>
      <c r="O57" s="17">
        <f>MIN(1.25,J57+15%)</f>
        <v/>
      </c>
      <c r="P57" s="17">
        <f>J57</f>
        <v/>
      </c>
      <c r="Q57" s="17">
        <f>MIN(1.25,O57*P57/90%)</f>
        <v/>
      </c>
    </row>
    <row r="58">
      <c r="A58" s="13" t="n">
        <v>53</v>
      </c>
      <c r="B58" s="14" t="inlineStr">
        <is>
          <t>MAHMOUD MOHAMED MAHDY</t>
        </is>
      </c>
      <c r="C58" s="14" t="inlineStr">
        <is>
          <t>DENTER</t>
        </is>
      </c>
      <c r="D58" s="14" t="inlineStr">
        <is>
          <t>TN0245</t>
        </is>
      </c>
      <c r="E58" s="13" t="n">
        <v>27</v>
      </c>
      <c r="F58" s="15">
        <f>E58*8</f>
        <v/>
      </c>
      <c r="G58" s="16" t="n">
        <v>0</v>
      </c>
      <c r="H58" s="15">
        <f>F58+G58</f>
        <v/>
      </c>
      <c r="I58" s="16" t="n">
        <v>153.71</v>
      </c>
      <c r="J58" s="17">
        <f>IFERROR(I58/H58,0)</f>
        <v/>
      </c>
      <c r="K58" s="17">
        <f>MAX(0,1-J58)</f>
        <v/>
      </c>
      <c r="L58" s="18" t="n">
        <v>12888.17</v>
      </c>
      <c r="M58" s="16" t="n">
        <v>153.71</v>
      </c>
      <c r="N58" s="15">
        <f>M58+E58*2</f>
        <v/>
      </c>
      <c r="O58" s="17">
        <f>MIN(1.25,J58+15%)</f>
        <v/>
      </c>
      <c r="P58" s="17">
        <f>J58</f>
        <v/>
      </c>
      <c r="Q58" s="17">
        <f>MIN(1.25,O58*P58/90%)</f>
        <v/>
      </c>
    </row>
    <row r="59">
      <c r="A59" s="13" t="n">
        <v>54</v>
      </c>
      <c r="B59" s="14" t="inlineStr">
        <is>
          <t>DIN DAYAL</t>
        </is>
      </c>
      <c r="C59" s="14" t="inlineStr">
        <is>
          <t>ELECTRICIAN</t>
        </is>
      </c>
      <c r="D59" s="14" t="inlineStr">
        <is>
          <t>TN0247</t>
        </is>
      </c>
      <c r="E59" s="13" t="n">
        <v>27</v>
      </c>
      <c r="F59" s="15">
        <f>E59*8</f>
        <v/>
      </c>
      <c r="G59" s="16" t="n">
        <v>0</v>
      </c>
      <c r="H59" s="15">
        <f>F59+G59</f>
        <v/>
      </c>
      <c r="I59" s="16" t="n">
        <v>97.7</v>
      </c>
      <c r="J59" s="17">
        <f>IFERROR(I59/H59,0)</f>
        <v/>
      </c>
      <c r="K59" s="17">
        <f>MAX(0,1-J59)</f>
        <v/>
      </c>
      <c r="L59" s="18" t="n">
        <v>8133.84</v>
      </c>
      <c r="M59" s="16" t="n">
        <v>97.7</v>
      </c>
      <c r="N59" s="15">
        <f>M59+E59*2</f>
        <v/>
      </c>
      <c r="O59" s="17">
        <f>MIN(1.25,J59+15%)</f>
        <v/>
      </c>
      <c r="P59" s="17">
        <f>J59</f>
        <v/>
      </c>
      <c r="Q59" s="17">
        <f>MIN(1.25,O59*P59/90%)</f>
        <v/>
      </c>
    </row>
    <row r="60">
      <c r="A60" s="13" t="n">
        <v>55</v>
      </c>
      <c r="B60" s="14" t="inlineStr">
        <is>
          <t>KAMAL HUSSAIN</t>
        </is>
      </c>
      <c r="C60" s="14" t="inlineStr">
        <is>
          <t>MECHANIC</t>
        </is>
      </c>
      <c r="D60" s="14" t="inlineStr">
        <is>
          <t>TN0248</t>
        </is>
      </c>
      <c r="E60" s="13" t="n">
        <v>25</v>
      </c>
      <c r="F60" s="15">
        <f>E60*8</f>
        <v/>
      </c>
      <c r="G60" s="16" t="n">
        <v>2</v>
      </c>
      <c r="H60" s="15">
        <f>F60+G60</f>
        <v/>
      </c>
      <c r="I60" s="16" t="n">
        <v>172.2</v>
      </c>
      <c r="J60" s="17">
        <f>IFERROR(I60/H60,0)</f>
        <v/>
      </c>
      <c r="K60" s="17">
        <f>MAX(0,1-J60)</f>
        <v/>
      </c>
      <c r="L60" s="18" t="n">
        <v>14398.74</v>
      </c>
      <c r="M60" s="16" t="n">
        <v>172.2</v>
      </c>
      <c r="N60" s="15">
        <f>M60+E60*2</f>
        <v/>
      </c>
      <c r="O60" s="17">
        <f>MIN(1.25,J60+15%)</f>
        <v/>
      </c>
      <c r="P60" s="17">
        <f>J60</f>
        <v/>
      </c>
      <c r="Q60" s="17">
        <f>MIN(1.25,O60*P60/90%)</f>
        <v/>
      </c>
    </row>
    <row r="61">
      <c r="A61" s="13" t="n">
        <v>56</v>
      </c>
      <c r="B61" s="14" t="inlineStr">
        <is>
          <t>RAIS MUHAMMAD KHAN YAR</t>
        </is>
      </c>
      <c r="C61" s="14" t="inlineStr">
        <is>
          <t>PAINTER</t>
        </is>
      </c>
      <c r="D61" s="14" t="inlineStr">
        <is>
          <t>TN0250</t>
        </is>
      </c>
      <c r="E61" s="13" t="n">
        <v>13</v>
      </c>
      <c r="F61" s="15">
        <f>E61*8</f>
        <v/>
      </c>
      <c r="G61" s="16" t="n">
        <v>1</v>
      </c>
      <c r="H61" s="15">
        <f>F61+G61</f>
        <v/>
      </c>
      <c r="I61" s="16" t="n">
        <v>65.59999999999999</v>
      </c>
      <c r="J61" s="17">
        <f>IFERROR(I61/H61,0)</f>
        <v/>
      </c>
      <c r="K61" s="17">
        <f>MAX(0,1-J61)</f>
        <v/>
      </c>
      <c r="L61" s="18" t="n">
        <v>5657.37</v>
      </c>
      <c r="M61" s="16" t="n">
        <v>65.59999999999999</v>
      </c>
      <c r="N61" s="15">
        <f>M61+E61*2</f>
        <v/>
      </c>
      <c r="O61" s="17">
        <f>MIN(1.25,J61+15%)</f>
        <v/>
      </c>
      <c r="P61" s="17">
        <f>J61</f>
        <v/>
      </c>
      <c r="Q61" s="17">
        <f>MIN(1.25,O61*P61/90%)</f>
        <v/>
      </c>
    </row>
    <row r="62">
      <c r="A62" s="13" t="n">
        <v>57</v>
      </c>
      <c r="B62" s="14" t="inlineStr">
        <is>
          <t>RAJEEVAN</t>
        </is>
      </c>
      <c r="C62" s="14" t="inlineStr">
        <is>
          <t>PAINTER</t>
        </is>
      </c>
      <c r="D62" s="14" t="inlineStr">
        <is>
          <t>TN0251</t>
        </is>
      </c>
      <c r="E62" s="13" t="n">
        <v>27</v>
      </c>
      <c r="F62" s="15">
        <f>E62*8</f>
        <v/>
      </c>
      <c r="G62" s="16" t="n">
        <v>0</v>
      </c>
      <c r="H62" s="15">
        <f>F62+G62</f>
        <v/>
      </c>
      <c r="I62" s="16" t="n">
        <v>171.5</v>
      </c>
      <c r="J62" s="17">
        <f>IFERROR(I62/H62,0)</f>
        <v/>
      </c>
      <c r="K62" s="17">
        <f>MAX(0,1-J62)</f>
        <v/>
      </c>
      <c r="L62" s="18" t="n">
        <v>14551.03</v>
      </c>
      <c r="M62" s="16" t="n">
        <v>171.5</v>
      </c>
      <c r="N62" s="15">
        <f>M62+E62*2</f>
        <v/>
      </c>
      <c r="O62" s="17">
        <f>MIN(1.25,J62+15%)</f>
        <v/>
      </c>
      <c r="P62" s="17">
        <f>J62</f>
        <v/>
      </c>
      <c r="Q62" s="17">
        <f>MIN(1.25,O62*P62/90%)</f>
        <v/>
      </c>
    </row>
    <row r="63">
      <c r="A63" s="13" t="n">
        <v>58</v>
      </c>
      <c r="B63" s="14" t="inlineStr">
        <is>
          <t>MOHAMMED NISAR BHURE</t>
        </is>
      </c>
      <c r="C63" s="14" t="inlineStr">
        <is>
          <t>MECHANIC</t>
        </is>
      </c>
      <c r="D63" s="14" t="inlineStr">
        <is>
          <t>TN0252</t>
        </is>
      </c>
      <c r="E63" s="13" t="n">
        <v>24</v>
      </c>
      <c r="F63" s="15">
        <f>E63*8</f>
        <v/>
      </c>
      <c r="G63" s="16" t="n">
        <v>0</v>
      </c>
      <c r="H63" s="15">
        <f>F63+G63</f>
        <v/>
      </c>
      <c r="I63" s="16" t="n">
        <v>113.37</v>
      </c>
      <c r="J63" s="17">
        <f>IFERROR(I63/H63,0)</f>
        <v/>
      </c>
      <c r="K63" s="17">
        <f>MAX(0,1-J63)</f>
        <v/>
      </c>
      <c r="L63" s="18" t="n">
        <v>9708.799999999999</v>
      </c>
      <c r="M63" s="16" t="n">
        <v>113.37</v>
      </c>
      <c r="N63" s="15">
        <f>M63+E63*2</f>
        <v/>
      </c>
      <c r="O63" s="17">
        <f>MIN(1.25,J63+15%)</f>
        <v/>
      </c>
      <c r="P63" s="17">
        <f>J63</f>
        <v/>
      </c>
      <c r="Q63" s="17">
        <f>MIN(1.25,O63*P63/90%)</f>
        <v/>
      </c>
    </row>
    <row r="64">
      <c r="A64" s="13" t="n">
        <v>59</v>
      </c>
      <c r="B64" s="14" t="inlineStr">
        <is>
          <t>MOHAMMED NISAR BHURE</t>
        </is>
      </c>
      <c r="C64" s="14" t="inlineStr">
        <is>
          <t>MECHANIC</t>
        </is>
      </c>
      <c r="D64" s="14" t="inlineStr">
        <is>
          <t>TN0252</t>
        </is>
      </c>
      <c r="E64" s="13" t="n">
        <v>4</v>
      </c>
      <c r="F64" s="15">
        <f>E64*8</f>
        <v/>
      </c>
      <c r="G64" s="16" t="n">
        <v>1</v>
      </c>
      <c r="H64" s="15">
        <f>F64+G64</f>
        <v/>
      </c>
      <c r="I64" s="16" t="n">
        <v>19.81</v>
      </c>
      <c r="J64" s="17">
        <f>IFERROR(I64/H64,0)</f>
        <v/>
      </c>
      <c r="K64" s="17">
        <f>MAX(0,1-J64)</f>
        <v/>
      </c>
      <c r="L64" s="18" t="n">
        <v>1688.32</v>
      </c>
      <c r="M64" s="16" t="n">
        <v>19.81</v>
      </c>
      <c r="N64" s="15">
        <f>M64+E64*2</f>
        <v/>
      </c>
      <c r="O64" s="17">
        <f>MIN(1.25,J64+15%)</f>
        <v/>
      </c>
      <c r="P64" s="17">
        <f>J64</f>
        <v/>
      </c>
      <c r="Q64" s="17">
        <f>MIN(1.25,O64*P64/90%)</f>
        <v/>
      </c>
    </row>
    <row r="65">
      <c r="A65" s="13" t="n">
        <v>60</v>
      </c>
      <c r="B65" s="14" t="inlineStr">
        <is>
          <t>VINODKUMAR KIZHAKKEPURA</t>
        </is>
      </c>
      <c r="C65" s="14" t="inlineStr">
        <is>
          <t>MECHANIC</t>
        </is>
      </c>
      <c r="D65" s="14" t="inlineStr">
        <is>
          <t>TN0253</t>
        </is>
      </c>
      <c r="E65" s="13" t="n">
        <v>20</v>
      </c>
      <c r="F65" s="15">
        <f>E65*8</f>
        <v/>
      </c>
      <c r="G65" s="16" t="n">
        <v>4</v>
      </c>
      <c r="H65" s="15">
        <f>F65+G65</f>
        <v/>
      </c>
      <c r="I65" s="16" t="n">
        <v>84.52</v>
      </c>
      <c r="J65" s="17">
        <f>IFERROR(I65/H65,0)</f>
        <v/>
      </c>
      <c r="K65" s="17">
        <f>MAX(0,1-J65)</f>
        <v/>
      </c>
      <c r="L65" s="18" t="n">
        <v>7337.19</v>
      </c>
      <c r="M65" s="16" t="n">
        <v>84.52</v>
      </c>
      <c r="N65" s="15">
        <f>M65+E65*2</f>
        <v/>
      </c>
      <c r="O65" s="17">
        <f>MIN(1.25,J65+15%)</f>
        <v/>
      </c>
      <c r="P65" s="17">
        <f>J65</f>
        <v/>
      </c>
      <c r="Q65" s="17">
        <f>MIN(1.25,O65*P65/90%)</f>
        <v/>
      </c>
    </row>
    <row r="66">
      <c r="A66" s="13" t="n">
        <v>61</v>
      </c>
      <c r="B66" s="14" t="inlineStr">
        <is>
          <t>ABU BAKAR SIDDIQ TAJ MUHA</t>
        </is>
      </c>
      <c r="C66" s="14" t="inlineStr">
        <is>
          <t>PAINTER</t>
        </is>
      </c>
      <c r="D66" s="14" t="inlineStr">
        <is>
          <t>TN0254</t>
        </is>
      </c>
      <c r="E66" s="13" t="n">
        <v>19</v>
      </c>
      <c r="F66" s="15">
        <f>E66*8</f>
        <v/>
      </c>
      <c r="G66" s="16" t="n">
        <v>0</v>
      </c>
      <c r="H66" s="15">
        <f>F66+G66</f>
        <v/>
      </c>
      <c r="I66" s="16" t="n">
        <v>93.45999999999999</v>
      </c>
      <c r="J66" s="17">
        <f>IFERROR(I66/H66,0)</f>
        <v/>
      </c>
      <c r="K66" s="17">
        <f>MAX(0,1-J66)</f>
        <v/>
      </c>
      <c r="L66" s="18" t="n">
        <v>8049.91</v>
      </c>
      <c r="M66" s="16" t="n">
        <v>93.45999999999999</v>
      </c>
      <c r="N66" s="15">
        <f>M66+E66*2</f>
        <v/>
      </c>
      <c r="O66" s="17">
        <f>MIN(1.25,J66+15%)</f>
        <v/>
      </c>
      <c r="P66" s="17">
        <f>J66</f>
        <v/>
      </c>
      <c r="Q66" s="17">
        <f>MIN(1.25,O66*P66/90%)</f>
        <v/>
      </c>
    </row>
    <row r="67">
      <c r="A67" s="13" t="n">
        <v>62</v>
      </c>
      <c r="B67" s="14" t="inlineStr">
        <is>
          <t>ABU BAKAR SIDDIQ TAJ MUHA</t>
        </is>
      </c>
      <c r="C67" s="14" t="inlineStr">
        <is>
          <t>PAINTER</t>
        </is>
      </c>
      <c r="D67" s="14" t="inlineStr">
        <is>
          <t>TN0254</t>
        </is>
      </c>
      <c r="E67" s="13" t="n">
        <v>4</v>
      </c>
      <c r="F67" s="15">
        <f>E67*8</f>
        <v/>
      </c>
      <c r="G67" s="16" t="n">
        <v>0</v>
      </c>
      <c r="H67" s="15">
        <f>F67+G67</f>
        <v/>
      </c>
      <c r="I67" s="16" t="n">
        <v>15.88</v>
      </c>
      <c r="J67" s="17">
        <f>IFERROR(I67/H67,0)</f>
        <v/>
      </c>
      <c r="K67" s="17">
        <f>MAX(0,1-J67)</f>
        <v/>
      </c>
      <c r="L67" s="18" t="n">
        <v>1336.76</v>
      </c>
      <c r="M67" s="16" t="n">
        <v>15.88</v>
      </c>
      <c r="N67" s="15">
        <f>M67+E67*2</f>
        <v/>
      </c>
      <c r="O67" s="17">
        <f>MIN(1.25,J67+15%)</f>
        <v/>
      </c>
      <c r="P67" s="17">
        <f>J67</f>
        <v/>
      </c>
      <c r="Q67" s="17">
        <f>MIN(1.25,O67*P67/90%)</f>
        <v/>
      </c>
    </row>
    <row r="68">
      <c r="A68" s="13" t="n">
        <v>63</v>
      </c>
      <c r="B68" s="14" t="inlineStr">
        <is>
          <t>SAMUEL OFORI</t>
        </is>
      </c>
      <c r="C68" s="14" t="inlineStr">
        <is>
          <t>MECHANIC</t>
        </is>
      </c>
      <c r="D68" s="14" t="inlineStr">
        <is>
          <t>TN0256</t>
        </is>
      </c>
      <c r="E68" s="13" t="n">
        <v>27</v>
      </c>
      <c r="F68" s="15">
        <f>E68*8</f>
        <v/>
      </c>
      <c r="G68" s="16" t="n">
        <v>0</v>
      </c>
      <c r="H68" s="15">
        <f>F68+G68</f>
        <v/>
      </c>
      <c r="I68" s="16" t="n">
        <v>157.78</v>
      </c>
      <c r="J68" s="17">
        <f>IFERROR(I68/H68,0)</f>
        <v/>
      </c>
      <c r="K68" s="17">
        <f>MAX(0,1-J68)</f>
        <v/>
      </c>
      <c r="L68" s="18" t="n">
        <v>13084.32</v>
      </c>
      <c r="M68" s="16" t="n">
        <v>157.78</v>
      </c>
      <c r="N68" s="15">
        <f>M68+E68*2</f>
        <v/>
      </c>
      <c r="O68" s="17">
        <f>MIN(1.25,J68+15%)</f>
        <v/>
      </c>
      <c r="P68" s="17">
        <f>J68</f>
        <v/>
      </c>
      <c r="Q68" s="17">
        <f>MIN(1.25,O68*P68/90%)</f>
        <v/>
      </c>
    </row>
    <row r="69">
      <c r="A69" s="13" t="n">
        <v>64</v>
      </c>
      <c r="B69" s="14" t="inlineStr">
        <is>
          <t>SHAJADA ALI SHAIKH</t>
        </is>
      </c>
      <c r="C69" s="14" t="inlineStr">
        <is>
          <t>MECHANIC</t>
        </is>
      </c>
      <c r="D69" s="14" t="inlineStr">
        <is>
          <t>TN0257</t>
        </is>
      </c>
      <c r="E69" s="13" t="n">
        <v>27</v>
      </c>
      <c r="F69" s="15">
        <f>E69*8</f>
        <v/>
      </c>
      <c r="G69" s="16" t="n">
        <v>2</v>
      </c>
      <c r="H69" s="15">
        <f>F69+G69</f>
        <v/>
      </c>
      <c r="I69" s="16" t="n">
        <v>196.57</v>
      </c>
      <c r="J69" s="17">
        <f>IFERROR(I69/H69,0)</f>
        <v/>
      </c>
      <c r="K69" s="17">
        <f>MAX(0,1-J69)</f>
        <v/>
      </c>
      <c r="L69" s="18" t="n">
        <v>16827.83</v>
      </c>
      <c r="M69" s="16" t="n">
        <v>196.57</v>
      </c>
      <c r="N69" s="15">
        <f>M69+E69*2</f>
        <v/>
      </c>
      <c r="O69" s="17">
        <f>MIN(1.25,J69+15%)</f>
        <v/>
      </c>
      <c r="P69" s="17">
        <f>J69</f>
        <v/>
      </c>
      <c r="Q69" s="17">
        <f>MIN(1.25,O69*P69/90%)</f>
        <v/>
      </c>
    </row>
    <row r="70">
      <c r="A70" s="13" t="n">
        <v>65</v>
      </c>
      <c r="B70" s="14" t="inlineStr">
        <is>
          <t>ABDULLAH NABEEL BUTT MAN</t>
        </is>
      </c>
      <c r="C70" s="14" t="inlineStr">
        <is>
          <t>ELECTRICIAN</t>
        </is>
      </c>
      <c r="D70" s="14" t="inlineStr">
        <is>
          <t>TN0258</t>
        </is>
      </c>
      <c r="E70" s="13" t="n">
        <v>26</v>
      </c>
      <c r="F70" s="15">
        <f>E70*8</f>
        <v/>
      </c>
      <c r="G70" s="16" t="n">
        <v>0</v>
      </c>
      <c r="H70" s="15">
        <f>F70+G70</f>
        <v/>
      </c>
      <c r="I70" s="16" t="n">
        <v>110.58</v>
      </c>
      <c r="J70" s="17">
        <f>IFERROR(I70/H70,0)</f>
        <v/>
      </c>
      <c r="K70" s="17">
        <f>MAX(0,1-J70)</f>
        <v/>
      </c>
      <c r="L70" s="18" t="n">
        <v>9239.969999999999</v>
      </c>
      <c r="M70" s="16" t="n">
        <v>110.58</v>
      </c>
      <c r="N70" s="15">
        <f>M70+E70*2</f>
        <v/>
      </c>
      <c r="O70" s="17">
        <f>MIN(1.25,J70+15%)</f>
        <v/>
      </c>
      <c r="P70" s="17">
        <f>J70</f>
        <v/>
      </c>
      <c r="Q70" s="17">
        <f>MIN(1.25,O70*P70/90%)</f>
        <v/>
      </c>
    </row>
    <row r="71">
      <c r="A71" s="13" t="n">
        <v>66</v>
      </c>
      <c r="B71" s="14" t="inlineStr">
        <is>
          <t>MOHAMMED AWAIS ASGHAR</t>
        </is>
      </c>
      <c r="C71" s="14" t="inlineStr">
        <is>
          <t>ELECTRICIAN</t>
        </is>
      </c>
      <c r="D71" s="14" t="inlineStr">
        <is>
          <t>TN0259</t>
        </is>
      </c>
      <c r="E71" s="13" t="n">
        <v>27</v>
      </c>
      <c r="F71" s="15">
        <f>E71*8</f>
        <v/>
      </c>
      <c r="G71" s="16" t="n">
        <v>0</v>
      </c>
      <c r="H71" s="15">
        <f>F71+G71</f>
        <v/>
      </c>
      <c r="I71" s="16" t="n">
        <v>153.68</v>
      </c>
      <c r="J71" s="17">
        <f>IFERROR(I71/H71,0)</f>
        <v/>
      </c>
      <c r="K71" s="17">
        <f>MAX(0,1-J71)</f>
        <v/>
      </c>
      <c r="L71" s="18" t="n">
        <v>13226.43</v>
      </c>
      <c r="M71" s="16" t="n">
        <v>153.68</v>
      </c>
      <c r="N71" s="15">
        <f>M71+E71*2</f>
        <v/>
      </c>
      <c r="O71" s="17">
        <f>MIN(1.25,J71+15%)</f>
        <v/>
      </c>
      <c r="P71" s="17">
        <f>J71</f>
        <v/>
      </c>
      <c r="Q71" s="17">
        <f>MIN(1.25,O71*P71/90%)</f>
        <v/>
      </c>
    </row>
    <row r="72">
      <c r="A72" s="13" t="n">
        <v>67</v>
      </c>
      <c r="B72" s="14" t="inlineStr">
        <is>
          <t>ANIS ALI MIR MIR IBRAB ALI</t>
        </is>
      </c>
      <c r="C72" s="14" t="inlineStr">
        <is>
          <t>MECHANIC</t>
        </is>
      </c>
      <c r="D72" s="14" t="inlineStr">
        <is>
          <t>TN0261</t>
        </is>
      </c>
      <c r="E72" s="13" t="n">
        <v>27</v>
      </c>
      <c r="F72" s="15">
        <f>E72*8</f>
        <v/>
      </c>
      <c r="G72" s="16" t="n">
        <v>0</v>
      </c>
      <c r="H72" s="15">
        <f>F72+G72</f>
        <v/>
      </c>
      <c r="I72" s="16" t="n">
        <v>136.67</v>
      </c>
      <c r="J72" s="17">
        <f>IFERROR(I72/H72,0)</f>
        <v/>
      </c>
      <c r="K72" s="17">
        <f>MAX(0,1-J72)</f>
        <v/>
      </c>
      <c r="L72" s="18" t="n">
        <v>11371.1</v>
      </c>
      <c r="M72" s="16" t="n">
        <v>136.67</v>
      </c>
      <c r="N72" s="15">
        <f>M72+E72*2</f>
        <v/>
      </c>
      <c r="O72" s="17">
        <f>MIN(1.25,J72+15%)</f>
        <v/>
      </c>
      <c r="P72" s="17">
        <f>J72</f>
        <v/>
      </c>
      <c r="Q72" s="17">
        <f>MIN(1.25,O72*P72/90%)</f>
        <v/>
      </c>
    </row>
    <row r="73">
      <c r="A73" s="13" t="n">
        <v>68</v>
      </c>
      <c r="B73" s="14" t="inlineStr">
        <is>
          <t>SABIR ALI MUHAMMAD ALI</t>
        </is>
      </c>
      <c r="C73" s="14" t="inlineStr">
        <is>
          <t>PAINTER</t>
        </is>
      </c>
      <c r="D73" s="14" t="inlineStr">
        <is>
          <t>TN0265</t>
        </is>
      </c>
      <c r="E73" s="13" t="n">
        <v>27</v>
      </c>
      <c r="F73" s="15">
        <f>E73*8</f>
        <v/>
      </c>
      <c r="G73" s="16" t="n">
        <v>2</v>
      </c>
      <c r="H73" s="15">
        <f>F73+G73</f>
        <v/>
      </c>
      <c r="I73" s="16" t="n">
        <v>160.12</v>
      </c>
      <c r="J73" s="17">
        <f>IFERROR(I73/H73,0)</f>
        <v/>
      </c>
      <c r="K73" s="17">
        <f>MAX(0,1-J73)</f>
        <v/>
      </c>
      <c r="L73" s="18" t="n">
        <v>13474.42</v>
      </c>
      <c r="M73" s="16" t="n">
        <v>160.12</v>
      </c>
      <c r="N73" s="15">
        <f>M73+E73*2</f>
        <v/>
      </c>
      <c r="O73" s="17">
        <f>MIN(1.25,J73+15%)</f>
        <v/>
      </c>
      <c r="P73" s="17">
        <f>J73</f>
        <v/>
      </c>
      <c r="Q73" s="17">
        <f>MIN(1.25,O73*P73/90%)</f>
        <v/>
      </c>
    </row>
    <row r="74">
      <c r="A74" s="13" t="n">
        <v>69</v>
      </c>
      <c r="B74" s="14" t="inlineStr">
        <is>
          <t>ARISTOTE TSOPKENG LEWEPO</t>
        </is>
      </c>
      <c r="C74" s="14" t="inlineStr">
        <is>
          <t>MECHANIC</t>
        </is>
      </c>
      <c r="D74" s="14" t="inlineStr">
        <is>
          <t>TN0266</t>
        </is>
      </c>
      <c r="E74" s="13" t="n">
        <v>26</v>
      </c>
      <c r="F74" s="15">
        <f>E74*8</f>
        <v/>
      </c>
      <c r="G74" s="16" t="n">
        <v>4</v>
      </c>
      <c r="H74" s="15">
        <f>F74+G74</f>
        <v/>
      </c>
      <c r="I74" s="16" t="n">
        <v>141.88</v>
      </c>
      <c r="J74" s="17">
        <f>IFERROR(I74/H74,0)</f>
        <v/>
      </c>
      <c r="K74" s="17">
        <f>MAX(0,1-J74)</f>
        <v/>
      </c>
      <c r="L74" s="18" t="n">
        <v>12229.7</v>
      </c>
      <c r="M74" s="16" t="n">
        <v>141.88</v>
      </c>
      <c r="N74" s="15">
        <f>M74+E74*2</f>
        <v/>
      </c>
      <c r="O74" s="17">
        <f>MIN(1.25,J74+15%)</f>
        <v/>
      </c>
      <c r="P74" s="17">
        <f>J74</f>
        <v/>
      </c>
      <c r="Q74" s="17">
        <f>MIN(1.25,O74*P74/90%)</f>
        <v/>
      </c>
    </row>
    <row r="75">
      <c r="A75" s="13" t="n">
        <v>70</v>
      </c>
      <c r="B75" s="14" t="inlineStr">
        <is>
          <t>ALAM ZEB KHAN</t>
        </is>
      </c>
      <c r="C75" s="14" t="inlineStr">
        <is>
          <t>MECHANIC</t>
        </is>
      </c>
      <c r="D75" s="14" t="inlineStr">
        <is>
          <t>TN0268</t>
        </is>
      </c>
      <c r="E75" s="13" t="n">
        <v>26</v>
      </c>
      <c r="F75" s="15">
        <f>E75*8</f>
        <v/>
      </c>
      <c r="G75" s="16" t="n">
        <v>0</v>
      </c>
      <c r="H75" s="15">
        <f>F75+G75</f>
        <v/>
      </c>
      <c r="I75" s="16" t="n">
        <v>99.20999999999999</v>
      </c>
      <c r="J75" s="17">
        <f>IFERROR(I75/H75,0)</f>
        <v/>
      </c>
      <c r="K75" s="17">
        <f>MAX(0,1-J75)</f>
        <v/>
      </c>
      <c r="L75" s="18" t="n">
        <v>8532.719999999999</v>
      </c>
      <c r="M75" s="16" t="n">
        <v>99.20999999999999</v>
      </c>
      <c r="N75" s="15">
        <f>M75+E75*2</f>
        <v/>
      </c>
      <c r="O75" s="17">
        <f>MIN(1.25,J75+15%)</f>
        <v/>
      </c>
      <c r="P75" s="17">
        <f>J75</f>
        <v/>
      </c>
      <c r="Q75" s="17">
        <f>MIN(1.25,O75*P75/90%)</f>
        <v/>
      </c>
    </row>
    <row r="76">
      <c r="A76" s="13" t="n">
        <v>71</v>
      </c>
      <c r="B76" s="14" t="inlineStr">
        <is>
          <t>Abdulla shekh</t>
        </is>
      </c>
      <c r="C76" s="14" t="inlineStr">
        <is>
          <t>PAINTER</t>
        </is>
      </c>
      <c r="D76" s="14" t="inlineStr">
        <is>
          <t>TN0269</t>
        </is>
      </c>
      <c r="E76" s="13" t="n">
        <v>26</v>
      </c>
      <c r="F76" s="15">
        <f>E76*8</f>
        <v/>
      </c>
      <c r="G76" s="16" t="n">
        <v>0</v>
      </c>
      <c r="H76" s="15">
        <f>F76+G76</f>
        <v/>
      </c>
      <c r="I76" s="16" t="n">
        <v>175.52</v>
      </c>
      <c r="J76" s="17">
        <f>IFERROR(I76/H76,0)</f>
        <v/>
      </c>
      <c r="K76" s="17">
        <f>MAX(0,1-J76)</f>
        <v/>
      </c>
      <c r="L76" s="18" t="n">
        <v>15038.27</v>
      </c>
      <c r="M76" s="16" t="n">
        <v>175.52</v>
      </c>
      <c r="N76" s="15">
        <f>M76+E76*2</f>
        <v/>
      </c>
      <c r="O76" s="17">
        <f>MIN(1.25,J76+15%)</f>
        <v/>
      </c>
      <c r="P76" s="17">
        <f>J76</f>
        <v/>
      </c>
      <c r="Q76" s="17">
        <f>MIN(1.25,O76*P76/90%)</f>
        <v/>
      </c>
    </row>
    <row r="77">
      <c r="A77" s="13" t="n">
        <v>72</v>
      </c>
      <c r="B77" s="14" t="inlineStr">
        <is>
          <t>Abdel Rahman</t>
        </is>
      </c>
      <c r="C77" s="14" t="inlineStr">
        <is>
          <t>PAINTER</t>
        </is>
      </c>
      <c r="D77" s="14" t="inlineStr">
        <is>
          <t>TN0270</t>
        </is>
      </c>
      <c r="E77" s="13" t="n">
        <v>26</v>
      </c>
      <c r="F77" s="15">
        <f>E77*8</f>
        <v/>
      </c>
      <c r="G77" s="16" t="n">
        <v>0</v>
      </c>
      <c r="H77" s="15">
        <f>F77+G77</f>
        <v/>
      </c>
      <c r="I77" s="16" t="n">
        <v>145.66</v>
      </c>
      <c r="J77" s="17">
        <f>IFERROR(I77/H77,0)</f>
        <v/>
      </c>
      <c r="K77" s="17">
        <f>MAX(0,1-J77)</f>
        <v/>
      </c>
      <c r="L77" s="18" t="n">
        <v>12274.64</v>
      </c>
      <c r="M77" s="16" t="n">
        <v>145.66</v>
      </c>
      <c r="N77" s="15">
        <f>M77+E77*2</f>
        <v/>
      </c>
      <c r="O77" s="17">
        <f>MIN(1.25,J77+15%)</f>
        <v/>
      </c>
      <c r="P77" s="17">
        <f>J77</f>
        <v/>
      </c>
      <c r="Q77" s="17">
        <f>MIN(1.25,O77*P77/90%)</f>
        <v/>
      </c>
    </row>
    <row r="78">
      <c r="A78" s="13" t="n">
        <v>73</v>
      </c>
      <c r="B78" s="14" t="inlineStr">
        <is>
          <t>RENJITH RADHAKRISHNAN NA</t>
        </is>
      </c>
      <c r="C78" s="14" t="inlineStr">
        <is>
          <t>PAINTER</t>
        </is>
      </c>
      <c r="D78" s="14" t="inlineStr">
        <is>
          <t>TN0272</t>
        </is>
      </c>
      <c r="E78" s="13" t="n">
        <v>11</v>
      </c>
      <c r="F78" s="15">
        <f>E78*8</f>
        <v/>
      </c>
      <c r="G78" s="16" t="n">
        <v>0</v>
      </c>
      <c r="H78" s="15">
        <f>F78+G78</f>
        <v/>
      </c>
      <c r="I78" s="16" t="n">
        <v>58.68</v>
      </c>
      <c r="J78" s="17">
        <f>IFERROR(I78/H78,0)</f>
        <v/>
      </c>
      <c r="K78" s="17">
        <f>MAX(0,1-J78)</f>
        <v/>
      </c>
      <c r="L78" s="18" t="n">
        <v>5064.07</v>
      </c>
      <c r="M78" s="16" t="n">
        <v>58.68</v>
      </c>
      <c r="N78" s="15">
        <f>M78+E78*2</f>
        <v/>
      </c>
      <c r="O78" s="17">
        <f>MIN(1.25,J78+15%)</f>
        <v/>
      </c>
      <c r="P78" s="17">
        <f>J78</f>
        <v/>
      </c>
      <c r="Q78" s="17">
        <f>MIN(1.25,O78*P78/90%)</f>
        <v/>
      </c>
    </row>
    <row r="79">
      <c r="A79" s="13" t="n">
        <v>74</v>
      </c>
      <c r="B79" s="14" t="inlineStr">
        <is>
          <t>RENJITH RADHAKRISHNAN NA</t>
        </is>
      </c>
      <c r="C79" s="14" t="inlineStr">
        <is>
          <t>PAINTER</t>
        </is>
      </c>
      <c r="D79" s="14" t="inlineStr">
        <is>
          <t>TN0272</t>
        </is>
      </c>
      <c r="E79" s="13" t="n">
        <v>8</v>
      </c>
      <c r="F79" s="15">
        <f>E79*8</f>
        <v/>
      </c>
      <c r="G79" s="16" t="n">
        <v>4</v>
      </c>
      <c r="H79" s="15">
        <f>F79+G79</f>
        <v/>
      </c>
      <c r="I79" s="16" t="n">
        <v>47.91</v>
      </c>
      <c r="J79" s="17">
        <f>IFERROR(I79/H79,0)</f>
        <v/>
      </c>
      <c r="K79" s="17">
        <f>MAX(0,1-J79)</f>
        <v/>
      </c>
      <c r="L79" s="18" t="n">
        <v>4064.43</v>
      </c>
      <c r="M79" s="16" t="n">
        <v>47.91</v>
      </c>
      <c r="N79" s="15">
        <f>M79+E79*2</f>
        <v/>
      </c>
      <c r="O79" s="17">
        <f>MIN(1.25,J79+15%)</f>
        <v/>
      </c>
      <c r="P79" s="17">
        <f>J79</f>
        <v/>
      </c>
      <c r="Q79" s="17">
        <f>MIN(1.25,O79*P79/90%)</f>
        <v/>
      </c>
    </row>
    <row r="80">
      <c r="A80" s="13" t="n">
        <v>75</v>
      </c>
      <c r="B80" s="14" t="inlineStr">
        <is>
          <t>AHID SHAIKH SHAIKH</t>
        </is>
      </c>
      <c r="C80" s="14" t="inlineStr">
        <is>
          <t>PAINTER</t>
        </is>
      </c>
      <c r="D80" s="14" t="inlineStr">
        <is>
          <t>TN0273</t>
        </is>
      </c>
      <c r="E80" s="13" t="n">
        <v>21</v>
      </c>
      <c r="F80" s="15">
        <f>E80*8</f>
        <v/>
      </c>
      <c r="G80" s="16" t="n">
        <v>2</v>
      </c>
      <c r="H80" s="15">
        <f>F80+G80</f>
        <v/>
      </c>
      <c r="I80" s="16" t="n">
        <v>121.18</v>
      </c>
      <c r="J80" s="17">
        <f>IFERROR(I80/H80,0)</f>
        <v/>
      </c>
      <c r="K80" s="17">
        <f>MAX(0,1-J80)</f>
        <v/>
      </c>
      <c r="L80" s="18" t="n">
        <v>10164.85</v>
      </c>
      <c r="M80" s="16" t="n">
        <v>121.18</v>
      </c>
      <c r="N80" s="15">
        <f>M80+E80*2</f>
        <v/>
      </c>
      <c r="O80" s="17">
        <f>MIN(1.25,J80+15%)</f>
        <v/>
      </c>
      <c r="P80" s="17">
        <f>J80</f>
        <v/>
      </c>
      <c r="Q80" s="17">
        <f>MIN(1.25,O80*P80/90%)</f>
        <v/>
      </c>
    </row>
    <row r="81">
      <c r="A81" s="13" t="n">
        <v>76</v>
      </c>
      <c r="B81" s="14" t="inlineStr">
        <is>
          <t>IBRAHIM KHAN</t>
        </is>
      </c>
      <c r="C81" s="14" t="inlineStr">
        <is>
          <t>DENTER</t>
        </is>
      </c>
      <c r="D81" s="14" t="inlineStr">
        <is>
          <t>TN0274</t>
        </is>
      </c>
      <c r="E81" s="13" t="n">
        <v>24</v>
      </c>
      <c r="F81" s="15">
        <f>E81*8</f>
        <v/>
      </c>
      <c r="G81" s="16" t="n">
        <v>4</v>
      </c>
      <c r="H81" s="15">
        <f>F81+G81</f>
        <v/>
      </c>
      <c r="I81" s="16" t="n">
        <v>130.97</v>
      </c>
      <c r="J81" s="17">
        <f>IFERROR(I81/H81,0)</f>
        <v/>
      </c>
      <c r="K81" s="17">
        <f>MAX(0,1-J81)</f>
        <v/>
      </c>
      <c r="L81" s="18" t="n">
        <v>11366.19</v>
      </c>
      <c r="M81" s="16" t="n">
        <v>130.97</v>
      </c>
      <c r="N81" s="15">
        <f>M81+E81*2</f>
        <v/>
      </c>
      <c r="O81" s="17">
        <f>MIN(1.25,J81+15%)</f>
        <v/>
      </c>
      <c r="P81" s="17">
        <f>J81</f>
        <v/>
      </c>
      <c r="Q81" s="17">
        <f>MIN(1.25,O81*P81/90%)</f>
        <v/>
      </c>
    </row>
    <row r="82">
      <c r="A82" s="13" t="n">
        <v>77</v>
      </c>
      <c r="B82" s="14" t="inlineStr">
        <is>
          <t>MUHAMMED SUFIAN QURESHI</t>
        </is>
      </c>
      <c r="C82" s="14" t="inlineStr">
        <is>
          <t>DENTER</t>
        </is>
      </c>
      <c r="D82" s="14" t="inlineStr">
        <is>
          <t>TN0275</t>
        </is>
      </c>
      <c r="E82" s="13" t="n">
        <v>27</v>
      </c>
      <c r="F82" s="15">
        <f>E82*8</f>
        <v/>
      </c>
      <c r="G82" s="16" t="n">
        <v>1</v>
      </c>
      <c r="H82" s="15">
        <f>F82+G82</f>
        <v/>
      </c>
      <c r="I82" s="16" t="n">
        <v>141.31</v>
      </c>
      <c r="J82" s="17">
        <f>IFERROR(I82/H82,0)</f>
        <v/>
      </c>
      <c r="K82" s="17">
        <f>MAX(0,1-J82)</f>
        <v/>
      </c>
      <c r="L82" s="18" t="n">
        <v>12120</v>
      </c>
      <c r="M82" s="16" t="n">
        <v>141.31</v>
      </c>
      <c r="N82" s="15">
        <f>M82+E82*2</f>
        <v/>
      </c>
      <c r="O82" s="17">
        <f>MIN(1.25,J82+15%)</f>
        <v/>
      </c>
      <c r="P82" s="17">
        <f>J82</f>
        <v/>
      </c>
      <c r="Q82" s="17">
        <f>MIN(1.25,O82*P82/90%)</f>
        <v/>
      </c>
    </row>
    <row r="83">
      <c r="A83" s="13" t="n">
        <v>78</v>
      </c>
      <c r="B83" s="14" t="inlineStr">
        <is>
          <t>RAGHU</t>
        </is>
      </c>
      <c r="C83" s="14" t="inlineStr">
        <is>
          <t>ELECTRICIAN</t>
        </is>
      </c>
      <c r="D83" s="14" t="inlineStr">
        <is>
          <t>TN0276</t>
        </is>
      </c>
      <c r="E83" s="13" t="n">
        <v>27</v>
      </c>
      <c r="F83" s="15">
        <f>E83*8</f>
        <v/>
      </c>
      <c r="G83" s="16" t="n">
        <v>0</v>
      </c>
      <c r="H83" s="15">
        <f>F83+G83</f>
        <v/>
      </c>
      <c r="I83" s="16" t="n">
        <v>147.8</v>
      </c>
      <c r="J83" s="17">
        <f>IFERROR(I83/H83,0)</f>
        <v/>
      </c>
      <c r="K83" s="17">
        <f>MAX(0,1-J83)</f>
        <v/>
      </c>
      <c r="L83" s="18" t="n">
        <v>12469.5</v>
      </c>
      <c r="M83" s="16" t="n">
        <v>147.8</v>
      </c>
      <c r="N83" s="15">
        <f>M83+E83*2</f>
        <v/>
      </c>
      <c r="O83" s="17">
        <f>MIN(1.25,J83+15%)</f>
        <v/>
      </c>
      <c r="P83" s="17">
        <f>J83</f>
        <v/>
      </c>
      <c r="Q83" s="17">
        <f>MIN(1.25,O83*P83/90%)</f>
        <v/>
      </c>
    </row>
    <row r="84">
      <c r="A84" s="13" t="n">
        <v>79</v>
      </c>
      <c r="B84" s="14" t="inlineStr">
        <is>
          <t>MAHAFUJ ALI MOHAMMAD</t>
        </is>
      </c>
      <c r="C84" s="14" t="inlineStr">
        <is>
          <t>PAINTER</t>
        </is>
      </c>
      <c r="D84" s="14" t="inlineStr">
        <is>
          <t>TN0277</t>
        </is>
      </c>
      <c r="E84" s="13" t="n">
        <v>27</v>
      </c>
      <c r="F84" s="15">
        <f>E84*8</f>
        <v/>
      </c>
      <c r="G84" s="16" t="n">
        <v>0</v>
      </c>
      <c r="H84" s="15">
        <f>F84+G84</f>
        <v/>
      </c>
      <c r="I84" s="16" t="n">
        <v>158.86</v>
      </c>
      <c r="J84" s="17">
        <f>IFERROR(I84/H84,0)</f>
        <v/>
      </c>
      <c r="K84" s="17">
        <f>MAX(0,1-J84)</f>
        <v/>
      </c>
      <c r="L84" s="18" t="n">
        <v>13201.51</v>
      </c>
      <c r="M84" s="16" t="n">
        <v>158.86</v>
      </c>
      <c r="N84" s="15">
        <f>M84+E84*2</f>
        <v/>
      </c>
      <c r="O84" s="17">
        <f>MIN(1.25,J84+15%)</f>
        <v/>
      </c>
      <c r="P84" s="17">
        <f>J84</f>
        <v/>
      </c>
      <c r="Q84" s="17">
        <f>MIN(1.25,O84*P84/90%)</f>
        <v/>
      </c>
    </row>
    <row r="85">
      <c r="A85" s="13" t="n">
        <v>80</v>
      </c>
      <c r="B85" s="14" t="inlineStr">
        <is>
          <t>SK MAKSOOD</t>
        </is>
      </c>
      <c r="C85" s="14" t="inlineStr">
        <is>
          <t>PAINTER</t>
        </is>
      </c>
      <c r="D85" s="14" t="inlineStr">
        <is>
          <t>TN0280</t>
        </is>
      </c>
      <c r="E85" s="13" t="n">
        <v>22</v>
      </c>
      <c r="F85" s="15">
        <f>E85*8</f>
        <v/>
      </c>
      <c r="G85" s="16" t="n">
        <v>2</v>
      </c>
      <c r="H85" s="15">
        <f>F85+G85</f>
        <v/>
      </c>
      <c r="I85" s="16" t="n">
        <v>143.48</v>
      </c>
      <c r="J85" s="17">
        <f>IFERROR(I85/H85,0)</f>
        <v/>
      </c>
      <c r="K85" s="17">
        <f>MAX(0,1-J85)</f>
        <v/>
      </c>
      <c r="L85" s="18" t="n">
        <v>11990</v>
      </c>
      <c r="M85" s="16" t="n">
        <v>143.48</v>
      </c>
      <c r="N85" s="15">
        <f>M85+E85*2</f>
        <v/>
      </c>
      <c r="O85" s="17">
        <f>MIN(1.25,J85+15%)</f>
        <v/>
      </c>
      <c r="P85" s="17">
        <f>J85</f>
        <v/>
      </c>
      <c r="Q85" s="17">
        <f>MIN(1.25,O85*P85/90%)</f>
        <v/>
      </c>
    </row>
    <row r="86">
      <c r="A86" s="13" t="n">
        <v>81</v>
      </c>
      <c r="B86" s="14" t="inlineStr">
        <is>
          <t>umar sadiq abdur rahman</t>
        </is>
      </c>
      <c r="C86" s="14" t="inlineStr">
        <is>
          <t>DENTER</t>
        </is>
      </c>
      <c r="D86" s="14" t="inlineStr">
        <is>
          <t>TN0281</t>
        </is>
      </c>
      <c r="E86" s="13" t="n">
        <v>25</v>
      </c>
      <c r="F86" s="15">
        <f>E86*8</f>
        <v/>
      </c>
      <c r="G86" s="16" t="n">
        <v>0</v>
      </c>
      <c r="H86" s="15">
        <f>F86+G86</f>
        <v/>
      </c>
      <c r="I86" s="16" t="n">
        <v>176.4</v>
      </c>
      <c r="J86" s="17">
        <f>IFERROR(I86/H86,0)</f>
        <v/>
      </c>
      <c r="K86" s="17">
        <f>MAX(0,1-J86)</f>
        <v/>
      </c>
      <c r="L86" s="18" t="n">
        <v>15228.7</v>
      </c>
      <c r="M86" s="16" t="n">
        <v>176.4</v>
      </c>
      <c r="N86" s="15">
        <f>M86+E86*2</f>
        <v/>
      </c>
      <c r="O86" s="17">
        <f>MIN(1.25,J86+15%)</f>
        <v/>
      </c>
      <c r="P86" s="17">
        <f>J86</f>
        <v/>
      </c>
      <c r="Q86" s="17">
        <f>MIN(1.25,O86*P86/90%)</f>
        <v/>
      </c>
    </row>
    <row r="87">
      <c r="A87" s="13" t="n">
        <v>82</v>
      </c>
      <c r="B87" s="14" t="inlineStr">
        <is>
          <t>DHANESH E. DEVADAS</t>
        </is>
      </c>
      <c r="C87" s="14" t="inlineStr">
        <is>
          <t>MECHANIC</t>
        </is>
      </c>
      <c r="D87" s="14" t="inlineStr">
        <is>
          <t>TN0283</t>
        </is>
      </c>
      <c r="E87" s="13" t="n">
        <v>25</v>
      </c>
      <c r="F87" s="15">
        <f>E87*8</f>
        <v/>
      </c>
      <c r="G87" s="16" t="n">
        <v>2</v>
      </c>
      <c r="H87" s="15">
        <f>F87+G87</f>
        <v/>
      </c>
      <c r="I87" s="16" t="n">
        <v>59.69</v>
      </c>
      <c r="J87" s="17">
        <f>IFERROR(I87/H87,0)</f>
        <v/>
      </c>
      <c r="K87" s="17">
        <f>MAX(0,1-J87)</f>
        <v/>
      </c>
      <c r="L87" s="18" t="n">
        <v>5018.37</v>
      </c>
      <c r="M87" s="16" t="n">
        <v>59.69</v>
      </c>
      <c r="N87" s="15">
        <f>M87+E87*2</f>
        <v/>
      </c>
      <c r="O87" s="17">
        <f>MIN(1.25,J87+15%)</f>
        <v/>
      </c>
      <c r="P87" s="17">
        <f>J87</f>
        <v/>
      </c>
      <c r="Q87" s="17">
        <f>MIN(1.25,O87*P87/90%)</f>
        <v/>
      </c>
    </row>
    <row r="88">
      <c r="A88" s="13" t="n">
        <v>83</v>
      </c>
      <c r="B88" s="14" t="inlineStr">
        <is>
          <t>Emmanuel Koranteng</t>
        </is>
      </c>
      <c r="C88" s="14" t="inlineStr">
        <is>
          <t>ELECTRICIAN</t>
        </is>
      </c>
      <c r="D88" s="14" t="inlineStr">
        <is>
          <t>TN0285</t>
        </is>
      </c>
      <c r="E88" s="13" t="n">
        <v>24</v>
      </c>
      <c r="F88" s="15">
        <f>E88*8</f>
        <v/>
      </c>
      <c r="G88" s="16" t="n">
        <v>0</v>
      </c>
      <c r="H88" s="15">
        <f>F88+G88</f>
        <v/>
      </c>
      <c r="I88" s="16" t="n">
        <v>123.67</v>
      </c>
      <c r="J88" s="17">
        <f>IFERROR(I88/H88,0)</f>
        <v/>
      </c>
      <c r="K88" s="17">
        <f>MAX(0,1-J88)</f>
        <v/>
      </c>
      <c r="L88" s="18" t="n">
        <v>10335.72</v>
      </c>
      <c r="M88" s="16" t="n">
        <v>123.67</v>
      </c>
      <c r="N88" s="15">
        <f>M88+E88*2</f>
        <v/>
      </c>
      <c r="O88" s="17">
        <f>MIN(1.25,J88+15%)</f>
        <v/>
      </c>
      <c r="P88" s="17">
        <f>J88</f>
        <v/>
      </c>
      <c r="Q88" s="17">
        <f>MIN(1.25,O88*P88/90%)</f>
        <v/>
      </c>
    </row>
    <row r="90">
      <c r="A90" s="19" t="n"/>
      <c r="B90" s="20" t="inlineStr">
        <is>
          <t>TOTAL / AVG</t>
        </is>
      </c>
      <c r="C90" s="19" t="n"/>
      <c r="D90" s="19" t="n"/>
      <c r="E90" s="21">
        <f>SUM(E6:E88)</f>
        <v/>
      </c>
      <c r="F90" s="21">
        <f>SUM(F6:F88)</f>
        <v/>
      </c>
      <c r="G90" s="21">
        <f>SUM(G6:G88)</f>
        <v/>
      </c>
      <c r="H90" s="21">
        <f>SUM(H6:H88)</f>
        <v/>
      </c>
      <c r="I90" s="21">
        <f>SUM(I6:I88)</f>
        <v/>
      </c>
      <c r="J90" s="22">
        <f>AVERAGE(J6:J88)</f>
        <v/>
      </c>
      <c r="K90" s="22">
        <f>AVERAGE(K6:K88)</f>
        <v/>
      </c>
      <c r="L90" s="23">
        <f>SUM(L6:L88)</f>
        <v/>
      </c>
      <c r="M90" s="21">
        <f>SUM(M6:M88)</f>
        <v/>
      </c>
      <c r="N90" s="21">
        <f>SUM(N6:N88)</f>
        <v/>
      </c>
      <c r="O90" s="22">
        <f>AVERAGE(O6:O88)</f>
        <v/>
      </c>
      <c r="P90" s="22">
        <f>AVERAGE(P6:P88)</f>
        <v/>
      </c>
      <c r="Q90" s="22">
        <f>AVERAGE(Q6:Q88)</f>
        <v/>
      </c>
    </row>
  </sheetData>
  <autoFilter ref="A5:Q88"/>
  <mergeCells count="3">
    <mergeCell ref="B2:Q2"/>
    <mergeCell ref="I1:M1"/>
    <mergeCell ref="A1:H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1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3" customWidth="1" min="14" max="14"/>
    <col width="9" customWidth="1" min="15" max="15"/>
    <col width="9" customWidth="1" min="16" max="16"/>
    <col width="9" customWidth="1" min="17" max="17"/>
  </cols>
  <sheetData>
    <row r="1">
      <c r="A1" s="9" t="inlineStr">
        <is>
          <t>Pioneer Car Service Center</t>
        </is>
      </c>
      <c r="I1" s="9" t="inlineStr">
        <is>
          <t>Technicians KPI's Report</t>
        </is>
      </c>
      <c r="N1" s="10" t="inlineStr">
        <is>
          <t>Period:</t>
        </is>
      </c>
      <c r="O1" s="10" t="inlineStr">
        <is>
          <t>Feb-2026</t>
        </is>
      </c>
    </row>
    <row r="2">
      <c r="A2" s="2" t="inlineStr">
        <is>
          <t>Data status:</t>
        </is>
      </c>
      <c r="B2" s="11" t="inlineStr">
        <is>
          <t>SIMULATED / ESTIMATED - realistic values based on Jul-2026 baseline</t>
        </is>
      </c>
    </row>
    <row r="5" ht="34" customHeight="1">
      <c r="A5" s="12" t="inlineStr">
        <is>
          <t>S.No</t>
        </is>
      </c>
      <c r="B5" s="12" t="inlineStr">
        <is>
          <t>Technician</t>
        </is>
      </c>
      <c r="C5" s="12" t="inlineStr">
        <is>
          <t>Designation</t>
        </is>
      </c>
      <c r="D5" s="12" t="inlineStr">
        <is>
          <t>Tech ID</t>
        </is>
      </c>
      <c r="E5" s="12" t="inlineStr">
        <is>
          <t>Days Present</t>
        </is>
      </c>
      <c r="F5" s="12" t="inlineStr">
        <is>
          <t>Avail. Hrs</t>
        </is>
      </c>
      <c r="G5" s="12" t="inlineStr">
        <is>
          <t>OT</t>
        </is>
      </c>
      <c r="H5" s="12" t="inlineStr">
        <is>
          <t>Total Hrs</t>
        </is>
      </c>
      <c r="I5" s="12" t="inlineStr">
        <is>
          <t>Worked Hrs</t>
        </is>
      </c>
      <c r="J5" s="12" t="inlineStr">
        <is>
          <t>Prod HRS (%)</t>
        </is>
      </c>
      <c r="K5" s="12" t="inlineStr">
        <is>
          <t>Idle HRS (%)</t>
        </is>
      </c>
      <c r="L5" s="12" t="inlineStr">
        <is>
          <t>Billed Value (AED)</t>
        </is>
      </c>
      <c r="M5" s="12" t="inlineStr">
        <is>
          <t>Billed HRS</t>
        </is>
      </c>
      <c r="N5" s="12" t="inlineStr">
        <is>
          <t>Billed Hours</t>
        </is>
      </c>
      <c r="O5" s="12" t="inlineStr">
        <is>
          <t>U%</t>
        </is>
      </c>
      <c r="P5" s="12" t="inlineStr">
        <is>
          <t>P%</t>
        </is>
      </c>
      <c r="Q5" s="12" t="inlineStr">
        <is>
          <t>E%</t>
        </is>
      </c>
    </row>
    <row r="6">
      <c r="A6" s="13" t="n">
        <v>1</v>
      </c>
      <c r="B6" s="14" t="inlineStr">
        <is>
          <t>GERVAS LEONARD</t>
        </is>
      </c>
      <c r="C6" s="14" t="inlineStr">
        <is>
          <t>DENTER</t>
        </is>
      </c>
      <c r="D6" s="14" t="inlineStr">
        <is>
          <t>TN0015</t>
        </is>
      </c>
      <c r="E6" s="13" t="n">
        <v>25</v>
      </c>
      <c r="F6" s="15">
        <f>E6*8</f>
        <v/>
      </c>
      <c r="G6" s="16" t="n">
        <v>2</v>
      </c>
      <c r="H6" s="15">
        <f>F6+G6</f>
        <v/>
      </c>
      <c r="I6" s="16" t="n">
        <v>160.34</v>
      </c>
      <c r="J6" s="17">
        <f>IFERROR(I6/H6,0)</f>
        <v/>
      </c>
      <c r="K6" s="17">
        <f>MAX(0,1-J6)</f>
        <v/>
      </c>
      <c r="L6" s="18" t="n">
        <v>13645.65</v>
      </c>
      <c r="M6" s="16" t="n">
        <v>160.34</v>
      </c>
      <c r="N6" s="15">
        <f>M6+E6*2</f>
        <v/>
      </c>
      <c r="O6" s="17">
        <f>MIN(1.25,J6+15%)</f>
        <v/>
      </c>
      <c r="P6" s="17">
        <f>J6</f>
        <v/>
      </c>
      <c r="Q6" s="17">
        <f>MIN(1.25,O6*P6/90%)</f>
        <v/>
      </c>
    </row>
    <row r="7">
      <c r="A7" s="13" t="n">
        <v>2</v>
      </c>
      <c r="B7" s="14" t="inlineStr">
        <is>
          <t>ATHUMANI HAMAD NGODA</t>
        </is>
      </c>
      <c r="C7" s="14" t="inlineStr">
        <is>
          <t>PAINTER</t>
        </is>
      </c>
      <c r="D7" s="14" t="inlineStr">
        <is>
          <t>TN0018</t>
        </is>
      </c>
      <c r="E7" s="13" t="n">
        <v>22</v>
      </c>
      <c r="F7" s="15">
        <f>E7*8</f>
        <v/>
      </c>
      <c r="G7" s="16" t="n">
        <v>0</v>
      </c>
      <c r="H7" s="15">
        <f>F7+G7</f>
        <v/>
      </c>
      <c r="I7" s="16" t="n">
        <v>149.7</v>
      </c>
      <c r="J7" s="17">
        <f>IFERROR(I7/H7,0)</f>
        <v/>
      </c>
      <c r="K7" s="17">
        <f>MAX(0,1-J7)</f>
        <v/>
      </c>
      <c r="L7" s="18" t="n">
        <v>12645.65</v>
      </c>
      <c r="M7" s="16" t="n">
        <v>149.7</v>
      </c>
      <c r="N7" s="15">
        <f>M7+E7*2</f>
        <v/>
      </c>
      <c r="O7" s="17">
        <f>MIN(1.25,J7+15%)</f>
        <v/>
      </c>
      <c r="P7" s="17">
        <f>J7</f>
        <v/>
      </c>
      <c r="Q7" s="17">
        <f>MIN(1.25,O7*P7/90%)</f>
        <v/>
      </c>
    </row>
    <row r="8">
      <c r="A8" s="13" t="n">
        <v>3</v>
      </c>
      <c r="B8" s="14" t="inlineStr">
        <is>
          <t>SAMIRULLAH Sheikh</t>
        </is>
      </c>
      <c r="C8" s="14" t="inlineStr">
        <is>
          <t>PAINTER</t>
        </is>
      </c>
      <c r="D8" s="14" t="inlineStr">
        <is>
          <t>TN0020</t>
        </is>
      </c>
      <c r="E8" s="13" t="n">
        <v>22</v>
      </c>
      <c r="F8" s="15">
        <f>E8*8</f>
        <v/>
      </c>
      <c r="G8" s="16" t="n">
        <v>0</v>
      </c>
      <c r="H8" s="15">
        <f>F8+G8</f>
        <v/>
      </c>
      <c r="I8" s="16" t="n">
        <v>142.62</v>
      </c>
      <c r="J8" s="17">
        <f>IFERROR(I8/H8,0)</f>
        <v/>
      </c>
      <c r="K8" s="17">
        <f>MAX(0,1-J8)</f>
        <v/>
      </c>
      <c r="L8" s="18" t="n">
        <v>12214.9</v>
      </c>
      <c r="M8" s="16" t="n">
        <v>142.62</v>
      </c>
      <c r="N8" s="15">
        <f>M8+E8*2</f>
        <v/>
      </c>
      <c r="O8" s="17">
        <f>MIN(1.25,J8+15%)</f>
        <v/>
      </c>
      <c r="P8" s="17">
        <f>J8</f>
        <v/>
      </c>
      <c r="Q8" s="17">
        <f>MIN(1.25,O8*P8/90%)</f>
        <v/>
      </c>
    </row>
    <row r="9">
      <c r="A9" s="13" t="n">
        <v>4</v>
      </c>
      <c r="B9" s="14" t="inlineStr">
        <is>
          <t>BRUNO STEPHANO MASASI</t>
        </is>
      </c>
      <c r="C9" s="14" t="inlineStr">
        <is>
          <t>MECHANIC</t>
        </is>
      </c>
      <c r="D9" s="14" t="inlineStr">
        <is>
          <t>TN0023</t>
        </is>
      </c>
      <c r="E9" s="13" t="n">
        <v>25</v>
      </c>
      <c r="F9" s="15">
        <f>E9*8</f>
        <v/>
      </c>
      <c r="G9" s="16" t="n">
        <v>0</v>
      </c>
      <c r="H9" s="15">
        <f>F9+G9</f>
        <v/>
      </c>
      <c r="I9" s="16" t="n">
        <v>169.07</v>
      </c>
      <c r="J9" s="17">
        <f>IFERROR(I9/H9,0)</f>
        <v/>
      </c>
      <c r="K9" s="17">
        <f>MAX(0,1-J9)</f>
        <v/>
      </c>
      <c r="L9" s="18" t="n">
        <v>14406.94</v>
      </c>
      <c r="M9" s="16" t="n">
        <v>169.07</v>
      </c>
      <c r="N9" s="15">
        <f>M9+E9*2</f>
        <v/>
      </c>
      <c r="O9" s="17">
        <f>MIN(1.25,J9+15%)</f>
        <v/>
      </c>
      <c r="P9" s="17">
        <f>J9</f>
        <v/>
      </c>
      <c r="Q9" s="17">
        <f>MIN(1.25,O9*P9/90%)</f>
        <v/>
      </c>
    </row>
    <row r="10">
      <c r="A10" s="13" t="n">
        <v>5</v>
      </c>
      <c r="B10" s="14" t="inlineStr">
        <is>
          <t>JUMANNE ABDUL</t>
        </is>
      </c>
      <c r="C10" s="14" t="inlineStr">
        <is>
          <t>PAINTER</t>
        </is>
      </c>
      <c r="D10" s="14" t="inlineStr">
        <is>
          <t>TN0025</t>
        </is>
      </c>
      <c r="E10" s="13" t="n">
        <v>25</v>
      </c>
      <c r="F10" s="15">
        <f>E10*8</f>
        <v/>
      </c>
      <c r="G10" s="16" t="n">
        <v>0</v>
      </c>
      <c r="H10" s="15">
        <f>F10+G10</f>
        <v/>
      </c>
      <c r="I10" s="16" t="n">
        <v>166.98</v>
      </c>
      <c r="J10" s="17">
        <f>IFERROR(I10/H10,0)</f>
        <v/>
      </c>
      <c r="K10" s="17">
        <f>MAX(0,1-J10)</f>
        <v/>
      </c>
      <c r="L10" s="18" t="n">
        <v>14460.68</v>
      </c>
      <c r="M10" s="16" t="n">
        <v>166.98</v>
      </c>
      <c r="N10" s="15">
        <f>M10+E10*2</f>
        <v/>
      </c>
      <c r="O10" s="17">
        <f>MIN(1.25,J10+15%)</f>
        <v/>
      </c>
      <c r="P10" s="17">
        <f>J10</f>
        <v/>
      </c>
      <c r="Q10" s="17">
        <f>MIN(1.25,O10*P10/90%)</f>
        <v/>
      </c>
    </row>
    <row r="11">
      <c r="A11" s="13" t="n">
        <v>6</v>
      </c>
      <c r="B11" s="14" t="inlineStr">
        <is>
          <t>Ally Bakali Kufikili</t>
        </is>
      </c>
      <c r="C11" s="14" t="inlineStr">
        <is>
          <t>PAINTER</t>
        </is>
      </c>
      <c r="D11" s="14" t="inlineStr">
        <is>
          <t>TN0027</t>
        </is>
      </c>
      <c r="E11" s="13" t="n">
        <v>2</v>
      </c>
      <c r="F11" s="15">
        <f>E11*8</f>
        <v/>
      </c>
      <c r="G11" s="16" t="n">
        <v>1</v>
      </c>
      <c r="H11" s="15">
        <f>F11+G11</f>
        <v/>
      </c>
      <c r="I11" s="16" t="n">
        <v>14.65</v>
      </c>
      <c r="J11" s="17">
        <f>IFERROR(I11/H11,0)</f>
        <v/>
      </c>
      <c r="K11" s="17">
        <f>MAX(0,1-J11)</f>
        <v/>
      </c>
      <c r="L11" s="18" t="n">
        <v>1239.36</v>
      </c>
      <c r="M11" s="16" t="n">
        <v>14.65</v>
      </c>
      <c r="N11" s="15">
        <f>M11+E11*2</f>
        <v/>
      </c>
      <c r="O11" s="17">
        <f>MIN(1.25,J11+15%)</f>
        <v/>
      </c>
      <c r="P11" s="17">
        <f>J11</f>
        <v/>
      </c>
      <c r="Q11" s="17">
        <f>MIN(1.25,O11*P11/90%)</f>
        <v/>
      </c>
    </row>
    <row r="12">
      <c r="A12" s="13" t="n">
        <v>7</v>
      </c>
      <c r="B12" s="14" t="inlineStr">
        <is>
          <t>Daudi Khafani Mrisho</t>
        </is>
      </c>
      <c r="C12" s="14" t="inlineStr">
        <is>
          <t>PAINTER</t>
        </is>
      </c>
      <c r="D12" s="14" t="inlineStr">
        <is>
          <t>TN0028</t>
        </is>
      </c>
      <c r="E12" s="13" t="n">
        <v>23</v>
      </c>
      <c r="F12" s="15">
        <f>E12*8</f>
        <v/>
      </c>
      <c r="G12" s="16" t="n">
        <v>0</v>
      </c>
      <c r="H12" s="15">
        <f>F12+G12</f>
        <v/>
      </c>
      <c r="I12" s="16" t="n">
        <v>146.61</v>
      </c>
      <c r="J12" s="17">
        <f>IFERROR(I12/H12,0)</f>
        <v/>
      </c>
      <c r="K12" s="17">
        <f>MAX(0,1-J12)</f>
        <v/>
      </c>
      <c r="L12" s="18" t="n">
        <v>12274.01</v>
      </c>
      <c r="M12" s="16" t="n">
        <v>146.61</v>
      </c>
      <c r="N12" s="15">
        <f>M12+E12*2</f>
        <v/>
      </c>
      <c r="O12" s="17">
        <f>MIN(1.25,J12+15%)</f>
        <v/>
      </c>
      <c r="P12" s="17">
        <f>J12</f>
        <v/>
      </c>
      <c r="Q12" s="17">
        <f>MIN(1.25,O12*P12/90%)</f>
        <v/>
      </c>
    </row>
    <row r="13">
      <c r="A13" s="13" t="n">
        <v>8</v>
      </c>
      <c r="B13" s="14" t="inlineStr">
        <is>
          <t>Aboo Khan Babu Khan</t>
        </is>
      </c>
      <c r="C13" s="14" t="inlineStr">
        <is>
          <t>PAINTER</t>
        </is>
      </c>
      <c r="D13" s="14" t="inlineStr">
        <is>
          <t>TN0041</t>
        </is>
      </c>
      <c r="E13" s="13" t="n">
        <v>25</v>
      </c>
      <c r="F13" s="15">
        <f>E13*8</f>
        <v/>
      </c>
      <c r="G13" s="16" t="n">
        <v>0</v>
      </c>
      <c r="H13" s="15">
        <f>F13+G13</f>
        <v/>
      </c>
      <c r="I13" s="16" t="n">
        <v>157.4</v>
      </c>
      <c r="J13" s="17">
        <f>IFERROR(I13/H13,0)</f>
        <v/>
      </c>
      <c r="K13" s="17">
        <f>MAX(0,1-J13)</f>
        <v/>
      </c>
      <c r="L13" s="18" t="n">
        <v>13581.59</v>
      </c>
      <c r="M13" s="16" t="n">
        <v>157.4</v>
      </c>
      <c r="N13" s="15">
        <f>M13+E13*2</f>
        <v/>
      </c>
      <c r="O13" s="17">
        <f>MIN(1.25,J13+15%)</f>
        <v/>
      </c>
      <c r="P13" s="17">
        <f>J13</f>
        <v/>
      </c>
      <c r="Q13" s="17">
        <f>MIN(1.25,O13*P13/90%)</f>
        <v/>
      </c>
    </row>
    <row r="14">
      <c r="A14" s="13" t="n">
        <v>9</v>
      </c>
      <c r="B14" s="14" t="inlineStr">
        <is>
          <t>AFZAL ALI</t>
        </is>
      </c>
      <c r="C14" s="14" t="inlineStr">
        <is>
          <t>DENTER</t>
        </is>
      </c>
      <c r="D14" s="14" t="inlineStr">
        <is>
          <t>TN0046</t>
        </is>
      </c>
      <c r="E14" s="13" t="n">
        <v>23</v>
      </c>
      <c r="F14" s="15">
        <f>E14*8</f>
        <v/>
      </c>
      <c r="G14" s="16" t="n">
        <v>0</v>
      </c>
      <c r="H14" s="15">
        <f>F14+G14</f>
        <v/>
      </c>
      <c r="I14" s="16" t="n">
        <v>138.74</v>
      </c>
      <c r="J14" s="17">
        <f>IFERROR(I14/H14,0)</f>
        <v/>
      </c>
      <c r="K14" s="17">
        <f>MAX(0,1-J14)</f>
        <v/>
      </c>
      <c r="L14" s="18" t="n">
        <v>11595.48</v>
      </c>
      <c r="M14" s="16" t="n">
        <v>138.74</v>
      </c>
      <c r="N14" s="15">
        <f>M14+E14*2</f>
        <v/>
      </c>
      <c r="O14" s="17">
        <f>MIN(1.25,J14+15%)</f>
        <v/>
      </c>
      <c r="P14" s="17">
        <f>J14</f>
        <v/>
      </c>
      <c r="Q14" s="17">
        <f>MIN(1.25,O14*P14/90%)</f>
        <v/>
      </c>
    </row>
    <row r="15">
      <c r="A15" s="13" t="n">
        <v>10</v>
      </c>
      <c r="B15" s="14" t="inlineStr">
        <is>
          <t>ALEX LAL</t>
        </is>
      </c>
      <c r="C15" s="14" t="inlineStr">
        <is>
          <t>DENTER</t>
        </is>
      </c>
      <c r="D15" s="14" t="inlineStr">
        <is>
          <t>TN0047</t>
        </is>
      </c>
      <c r="E15" s="13" t="n">
        <v>23</v>
      </c>
      <c r="F15" s="15">
        <f>E15*8</f>
        <v/>
      </c>
      <c r="G15" s="16" t="n">
        <v>0</v>
      </c>
      <c r="H15" s="15">
        <f>F15+G15</f>
        <v/>
      </c>
      <c r="I15" s="16" t="n">
        <v>149.46</v>
      </c>
      <c r="J15" s="17">
        <f>IFERROR(I15/H15,0)</f>
        <v/>
      </c>
      <c r="K15" s="17">
        <f>MAX(0,1-J15)</f>
        <v/>
      </c>
      <c r="L15" s="18" t="n">
        <v>12767.85</v>
      </c>
      <c r="M15" s="16" t="n">
        <v>149.46</v>
      </c>
      <c r="N15" s="15">
        <f>M15+E15*2</f>
        <v/>
      </c>
      <c r="O15" s="17">
        <f>MIN(1.25,J15+15%)</f>
        <v/>
      </c>
      <c r="P15" s="17">
        <f>J15</f>
        <v/>
      </c>
      <c r="Q15" s="17">
        <f>MIN(1.25,O15*P15/90%)</f>
        <v/>
      </c>
    </row>
    <row r="16">
      <c r="A16" s="13" t="n">
        <v>11</v>
      </c>
      <c r="B16" s="14" t="inlineStr">
        <is>
          <t>MOHAMMAD ALMAGIR</t>
        </is>
      </c>
      <c r="C16" s="14" t="inlineStr">
        <is>
          <t>MECHANIC</t>
        </is>
      </c>
      <c r="D16" s="14" t="inlineStr">
        <is>
          <t>TN0055</t>
        </is>
      </c>
      <c r="E16" s="13" t="n">
        <v>12</v>
      </c>
      <c r="F16" s="15">
        <f>E16*8</f>
        <v/>
      </c>
      <c r="G16" s="16" t="n">
        <v>2</v>
      </c>
      <c r="H16" s="15">
        <f>F16+G16</f>
        <v/>
      </c>
      <c r="I16" s="16" t="n">
        <v>38.27</v>
      </c>
      <c r="J16" s="17">
        <f>IFERROR(I16/H16,0)</f>
        <v/>
      </c>
      <c r="K16" s="17">
        <f>MAX(0,1-J16)</f>
        <v/>
      </c>
      <c r="L16" s="18" t="n">
        <v>3213.13</v>
      </c>
      <c r="M16" s="16" t="n">
        <v>38.27</v>
      </c>
      <c r="N16" s="15">
        <f>M16+E16*2</f>
        <v/>
      </c>
      <c r="O16" s="17">
        <f>MIN(1.25,J16+15%)</f>
        <v/>
      </c>
      <c r="P16" s="17">
        <f>J16</f>
        <v/>
      </c>
      <c r="Q16" s="17">
        <f>MIN(1.25,O16*P16/90%)</f>
        <v/>
      </c>
    </row>
    <row r="17">
      <c r="A17" s="13" t="n">
        <v>12</v>
      </c>
      <c r="B17" s="14" t="inlineStr">
        <is>
          <t>ADESH BARUA</t>
        </is>
      </c>
      <c r="C17" s="14" t="inlineStr">
        <is>
          <t>ELECTRICIAN</t>
        </is>
      </c>
      <c r="D17" s="14" t="inlineStr">
        <is>
          <t>TN0064</t>
        </is>
      </c>
      <c r="E17" s="13" t="n">
        <v>24</v>
      </c>
      <c r="F17" s="15">
        <f>E17*8</f>
        <v/>
      </c>
      <c r="G17" s="16" t="n">
        <v>4</v>
      </c>
      <c r="H17" s="15">
        <f>F17+G17</f>
        <v/>
      </c>
      <c r="I17" s="16" t="n">
        <v>151.28</v>
      </c>
      <c r="J17" s="17">
        <f>IFERROR(I17/H17,0)</f>
        <v/>
      </c>
      <c r="K17" s="17">
        <f>MAX(0,1-J17)</f>
        <v/>
      </c>
      <c r="L17" s="18" t="n">
        <v>12849.19</v>
      </c>
      <c r="M17" s="16" t="n">
        <v>151.28</v>
      </c>
      <c r="N17" s="15">
        <f>M17+E17*2</f>
        <v/>
      </c>
      <c r="O17" s="17">
        <f>MIN(1.25,J17+15%)</f>
        <v/>
      </c>
      <c r="P17" s="17">
        <f>J17</f>
        <v/>
      </c>
      <c r="Q17" s="17">
        <f>MIN(1.25,O17*P17/90%)</f>
        <v/>
      </c>
    </row>
    <row r="18">
      <c r="A18" s="13" t="n">
        <v>13</v>
      </c>
      <c r="B18" s="14" t="inlineStr">
        <is>
          <t>BIDYADHAR BHUYAN</t>
        </is>
      </c>
      <c r="C18" s="14" t="inlineStr">
        <is>
          <t>PAINTER</t>
        </is>
      </c>
      <c r="D18" s="14" t="inlineStr">
        <is>
          <t>TN0067</t>
        </is>
      </c>
      <c r="E18" s="13" t="n">
        <v>25</v>
      </c>
      <c r="F18" s="15">
        <f>E18*8</f>
        <v/>
      </c>
      <c r="G18" s="16" t="n">
        <v>0</v>
      </c>
      <c r="H18" s="15">
        <f>F18+G18</f>
        <v/>
      </c>
      <c r="I18" s="16" t="n">
        <v>150.62</v>
      </c>
      <c r="J18" s="17">
        <f>IFERROR(I18/H18,0)</f>
        <v/>
      </c>
      <c r="K18" s="17">
        <f>MAX(0,1-J18)</f>
        <v/>
      </c>
      <c r="L18" s="18" t="n">
        <v>13088.58</v>
      </c>
      <c r="M18" s="16" t="n">
        <v>150.62</v>
      </c>
      <c r="N18" s="15">
        <f>M18+E18*2</f>
        <v/>
      </c>
      <c r="O18" s="17">
        <f>MIN(1.25,J18+15%)</f>
        <v/>
      </c>
      <c r="P18" s="17">
        <f>J18</f>
        <v/>
      </c>
      <c r="Q18" s="17">
        <f>MIN(1.25,O18*P18/90%)</f>
        <v/>
      </c>
    </row>
    <row r="19">
      <c r="A19" s="13" t="n">
        <v>14</v>
      </c>
      <c r="B19" s="14" t="inlineStr">
        <is>
          <t>MOHAMMAD EHTESHAM</t>
        </is>
      </c>
      <c r="C19" s="14" t="inlineStr">
        <is>
          <t>PAINTER</t>
        </is>
      </c>
      <c r="D19" s="14" t="inlineStr">
        <is>
          <t>TN0069</t>
        </is>
      </c>
      <c r="E19" s="13" t="n">
        <v>25</v>
      </c>
      <c r="F19" s="15">
        <f>E19*8</f>
        <v/>
      </c>
      <c r="G19" s="16" t="n">
        <v>0</v>
      </c>
      <c r="H19" s="15">
        <f>F19+G19</f>
        <v/>
      </c>
      <c r="I19" s="16" t="n">
        <v>173.16</v>
      </c>
      <c r="J19" s="17">
        <f>IFERROR(I19/H19,0)</f>
        <v/>
      </c>
      <c r="K19" s="17">
        <f>MAX(0,1-J19)</f>
        <v/>
      </c>
      <c r="L19" s="18" t="n">
        <v>14996.99</v>
      </c>
      <c r="M19" s="16" t="n">
        <v>173.16</v>
      </c>
      <c r="N19" s="15">
        <f>M19+E19*2</f>
        <v/>
      </c>
      <c r="O19" s="17">
        <f>MIN(1.25,J19+15%)</f>
        <v/>
      </c>
      <c r="P19" s="17">
        <f>J19</f>
        <v/>
      </c>
      <c r="Q19" s="17">
        <f>MIN(1.25,O19*P19/90%)</f>
        <v/>
      </c>
    </row>
    <row r="20">
      <c r="A20" s="13" t="n">
        <v>15</v>
      </c>
      <c r="B20" s="14" t="inlineStr">
        <is>
          <t>SHAZADA ALI</t>
        </is>
      </c>
      <c r="C20" s="14" t="inlineStr">
        <is>
          <t>DENTER</t>
        </is>
      </c>
      <c r="D20" s="14" t="inlineStr">
        <is>
          <t>TN0072</t>
        </is>
      </c>
      <c r="E20" s="13" t="n">
        <v>24</v>
      </c>
      <c r="F20" s="15">
        <f>E20*8</f>
        <v/>
      </c>
      <c r="G20" s="16" t="n">
        <v>2</v>
      </c>
      <c r="H20" s="15">
        <f>F20+G20</f>
        <v/>
      </c>
      <c r="I20" s="16" t="n">
        <v>167.07</v>
      </c>
      <c r="J20" s="17">
        <f>IFERROR(I20/H20,0)</f>
        <v/>
      </c>
      <c r="K20" s="17">
        <f>MAX(0,1-J20)</f>
        <v/>
      </c>
      <c r="L20" s="18" t="n">
        <v>14230.28</v>
      </c>
      <c r="M20" s="16" t="n">
        <v>167.07</v>
      </c>
      <c r="N20" s="15">
        <f>M20+E20*2</f>
        <v/>
      </c>
      <c r="O20" s="17">
        <f>MIN(1.25,J20+15%)</f>
        <v/>
      </c>
      <c r="P20" s="17">
        <f>J20</f>
        <v/>
      </c>
      <c r="Q20" s="17">
        <f>MIN(1.25,O20*P20/90%)</f>
        <v/>
      </c>
    </row>
    <row r="21">
      <c r="A21" s="13" t="n">
        <v>16</v>
      </c>
      <c r="B21" s="14" t="inlineStr">
        <is>
          <t>DIVAKAREN</t>
        </is>
      </c>
      <c r="C21" s="14" t="inlineStr">
        <is>
          <t>ELECTRICIAN</t>
        </is>
      </c>
      <c r="D21" s="14" t="inlineStr">
        <is>
          <t>TN0073</t>
        </is>
      </c>
      <c r="E21" s="13" t="n">
        <v>25</v>
      </c>
      <c r="F21" s="15">
        <f>E21*8</f>
        <v/>
      </c>
      <c r="G21" s="16" t="n">
        <v>1</v>
      </c>
      <c r="H21" s="15">
        <f>F21+G21</f>
        <v/>
      </c>
      <c r="I21" s="16" t="n">
        <v>99.56</v>
      </c>
      <c r="J21" s="17">
        <f>IFERROR(I21/H21,0)</f>
        <v/>
      </c>
      <c r="K21" s="17">
        <f>MAX(0,1-J21)</f>
        <v/>
      </c>
      <c r="L21" s="18" t="n">
        <v>8539.24</v>
      </c>
      <c r="M21" s="16" t="n">
        <v>99.56</v>
      </c>
      <c r="N21" s="15">
        <f>M21+E21*2</f>
        <v/>
      </c>
      <c r="O21" s="17">
        <f>MIN(1.25,J21+15%)</f>
        <v/>
      </c>
      <c r="P21" s="17">
        <f>J21</f>
        <v/>
      </c>
      <c r="Q21" s="17">
        <f>MIN(1.25,O21*P21/90%)</f>
        <v/>
      </c>
    </row>
    <row r="22">
      <c r="A22" s="13" t="n">
        <v>17</v>
      </c>
      <c r="B22" s="14" t="inlineStr">
        <is>
          <t>RAGHIN KUVVAKKAT</t>
        </is>
      </c>
      <c r="C22" s="14" t="inlineStr">
        <is>
          <t>MECHANIC</t>
        </is>
      </c>
      <c r="D22" s="14" t="inlineStr">
        <is>
          <t>TN0082</t>
        </is>
      </c>
      <c r="E22" s="13" t="n">
        <v>24</v>
      </c>
      <c r="F22" s="15">
        <f>E22*8</f>
        <v/>
      </c>
      <c r="G22" s="16" t="n">
        <v>0</v>
      </c>
      <c r="H22" s="15">
        <f>F22+G22</f>
        <v/>
      </c>
      <c r="I22" s="16" t="n">
        <v>121.09</v>
      </c>
      <c r="J22" s="17">
        <f>IFERROR(I22/H22,0)</f>
        <v/>
      </c>
      <c r="K22" s="17">
        <f>MAX(0,1-J22)</f>
        <v/>
      </c>
      <c r="L22" s="18" t="n">
        <v>10523.85</v>
      </c>
      <c r="M22" s="16" t="n">
        <v>121.09</v>
      </c>
      <c r="N22" s="15">
        <f>M22+E22*2</f>
        <v/>
      </c>
      <c r="O22" s="17">
        <f>MIN(1.25,J22+15%)</f>
        <v/>
      </c>
      <c r="P22" s="17">
        <f>J22</f>
        <v/>
      </c>
      <c r="Q22" s="17">
        <f>MIN(1.25,O22*P22/90%)</f>
        <v/>
      </c>
    </row>
    <row r="23">
      <c r="A23" s="13" t="n">
        <v>18</v>
      </c>
      <c r="B23" s="14" t="inlineStr">
        <is>
          <t>MARLON LANDICHO</t>
        </is>
      </c>
      <c r="C23" s="14" t="inlineStr">
        <is>
          <t>MECHANIC</t>
        </is>
      </c>
      <c r="D23" s="14" t="inlineStr">
        <is>
          <t>TN0089</t>
        </is>
      </c>
      <c r="E23" s="13" t="n">
        <v>25</v>
      </c>
      <c r="F23" s="15">
        <f>E23*8</f>
        <v/>
      </c>
      <c r="G23" s="16" t="n">
        <v>1</v>
      </c>
      <c r="H23" s="15">
        <f>F23+G23</f>
        <v/>
      </c>
      <c r="I23" s="16" t="n">
        <v>175.35</v>
      </c>
      <c r="J23" s="17">
        <f>IFERROR(I23/H23,0)</f>
        <v/>
      </c>
      <c r="K23" s="17">
        <f>MAX(0,1-J23)</f>
        <v/>
      </c>
      <c r="L23" s="18" t="n">
        <v>14608.12</v>
      </c>
      <c r="M23" s="16" t="n">
        <v>175.35</v>
      </c>
      <c r="N23" s="15">
        <f>M23+E23*2</f>
        <v/>
      </c>
      <c r="O23" s="17">
        <f>MIN(1.25,J23+15%)</f>
        <v/>
      </c>
      <c r="P23" s="17">
        <f>J23</f>
        <v/>
      </c>
      <c r="Q23" s="17">
        <f>MIN(1.25,O23*P23/90%)</f>
        <v/>
      </c>
    </row>
    <row r="24">
      <c r="A24" s="13" t="n">
        <v>19</v>
      </c>
      <c r="B24" s="14" t="inlineStr">
        <is>
          <t>LIJO SAJAN DANIEL</t>
        </is>
      </c>
      <c r="C24" s="14" t="inlineStr">
        <is>
          <t>MECHANIC</t>
        </is>
      </c>
      <c r="D24" s="14" t="inlineStr">
        <is>
          <t>TN0092</t>
        </is>
      </c>
      <c r="E24" s="13" t="n">
        <v>24</v>
      </c>
      <c r="F24" s="15">
        <f>E24*8</f>
        <v/>
      </c>
      <c r="G24" s="16" t="n">
        <v>0</v>
      </c>
      <c r="H24" s="15">
        <f>F24+G24</f>
        <v/>
      </c>
      <c r="I24" s="16" t="n">
        <v>149.65</v>
      </c>
      <c r="J24" s="17">
        <f>IFERROR(I24/H24,0)</f>
        <v/>
      </c>
      <c r="K24" s="17">
        <f>MAX(0,1-J24)</f>
        <v/>
      </c>
      <c r="L24" s="18" t="n">
        <v>12711.56</v>
      </c>
      <c r="M24" s="16" t="n">
        <v>149.65</v>
      </c>
      <c r="N24" s="15">
        <f>M24+E24*2</f>
        <v/>
      </c>
      <c r="O24" s="17">
        <f>MIN(1.25,J24+15%)</f>
        <v/>
      </c>
      <c r="P24" s="17">
        <f>J24</f>
        <v/>
      </c>
      <c r="Q24" s="17">
        <f>MIN(1.25,O24*P24/90%)</f>
        <v/>
      </c>
    </row>
    <row r="25">
      <c r="A25" s="13" t="n">
        <v>20</v>
      </c>
      <c r="B25" s="14" t="inlineStr">
        <is>
          <t>WASSIM AKKARI</t>
        </is>
      </c>
      <c r="C25" s="14" t="inlineStr">
        <is>
          <t>TYRE TECHNICIAN</t>
        </is>
      </c>
      <c r="D25" s="14" t="inlineStr">
        <is>
          <t>TN0096</t>
        </is>
      </c>
      <c r="E25" s="13" t="n">
        <v>22</v>
      </c>
      <c r="F25" s="15">
        <f>E25*8</f>
        <v/>
      </c>
      <c r="G25" s="16" t="n">
        <v>2</v>
      </c>
      <c r="H25" s="15">
        <f>F25+G25</f>
        <v/>
      </c>
      <c r="I25" s="16" t="n">
        <v>119.72</v>
      </c>
      <c r="J25" s="17">
        <f>IFERROR(I25/H25,0)</f>
        <v/>
      </c>
      <c r="K25" s="17">
        <f>MAX(0,1-J25)</f>
        <v/>
      </c>
      <c r="L25" s="18" t="n">
        <v>10065.26</v>
      </c>
      <c r="M25" s="16" t="n">
        <v>119.72</v>
      </c>
      <c r="N25" s="15">
        <f>M25+E25*2</f>
        <v/>
      </c>
      <c r="O25" s="17">
        <f>MIN(1.25,J25+15%)</f>
        <v/>
      </c>
      <c r="P25" s="17">
        <f>J25</f>
        <v/>
      </c>
      <c r="Q25" s="17">
        <f>MIN(1.25,O25*P25/90%)</f>
        <v/>
      </c>
    </row>
    <row r="26">
      <c r="A26" s="13" t="n">
        <v>21</v>
      </c>
      <c r="B26" s="14" t="inlineStr">
        <is>
          <t>MUHAMMAD NADEEM</t>
        </is>
      </c>
      <c r="C26" s="14" t="inlineStr">
        <is>
          <t>MECHANIC</t>
        </is>
      </c>
      <c r="D26" s="14" t="inlineStr">
        <is>
          <t>TN0107</t>
        </is>
      </c>
      <c r="E26" s="13" t="n">
        <v>25</v>
      </c>
      <c r="F26" s="15">
        <f>E26*8</f>
        <v/>
      </c>
      <c r="G26" s="16" t="n">
        <v>0</v>
      </c>
      <c r="H26" s="15">
        <f>F26+G26</f>
        <v/>
      </c>
      <c r="I26" s="16" t="n">
        <v>179.04</v>
      </c>
      <c r="J26" s="17">
        <f>IFERROR(I26/H26,0)</f>
        <v/>
      </c>
      <c r="K26" s="17">
        <f>MAX(0,1-J26)</f>
        <v/>
      </c>
      <c r="L26" s="18" t="n">
        <v>15301.23</v>
      </c>
      <c r="M26" s="16" t="n">
        <v>179.04</v>
      </c>
      <c r="N26" s="15">
        <f>M26+E26*2</f>
        <v/>
      </c>
      <c r="O26" s="17">
        <f>MIN(1.25,J26+15%)</f>
        <v/>
      </c>
      <c r="P26" s="17">
        <f>J26</f>
        <v/>
      </c>
      <c r="Q26" s="17">
        <f>MIN(1.25,O26*P26/90%)</f>
        <v/>
      </c>
    </row>
    <row r="27">
      <c r="A27" s="13" t="n">
        <v>22</v>
      </c>
      <c r="B27" s="14" t="inlineStr">
        <is>
          <t>SURESH NATRAJAN</t>
        </is>
      </c>
      <c r="C27" s="14" t="inlineStr">
        <is>
          <t>TYRE TECHNICIAN</t>
        </is>
      </c>
      <c r="D27" s="14" t="inlineStr">
        <is>
          <t>TN0109</t>
        </is>
      </c>
      <c r="E27" s="13" t="n">
        <v>25</v>
      </c>
      <c r="F27" s="15">
        <f>E27*8</f>
        <v/>
      </c>
      <c r="G27" s="16" t="n">
        <v>0</v>
      </c>
      <c r="H27" s="15">
        <f>F27+G27</f>
        <v/>
      </c>
      <c r="I27" s="16" t="n">
        <v>173.67</v>
      </c>
      <c r="J27" s="17">
        <f>IFERROR(I27/H27,0)</f>
        <v/>
      </c>
      <c r="K27" s="17">
        <f>MAX(0,1-J27)</f>
        <v/>
      </c>
      <c r="L27" s="18" t="n">
        <v>14763.94</v>
      </c>
      <c r="M27" s="16" t="n">
        <v>173.67</v>
      </c>
      <c r="N27" s="15">
        <f>M27+E27*2</f>
        <v/>
      </c>
      <c r="O27" s="17">
        <f>MIN(1.25,J27+15%)</f>
        <v/>
      </c>
      <c r="P27" s="17">
        <f>J27</f>
        <v/>
      </c>
      <c r="Q27" s="17">
        <f>MIN(1.25,O27*P27/90%)</f>
        <v/>
      </c>
    </row>
    <row r="28">
      <c r="A28" s="13" t="n">
        <v>23</v>
      </c>
      <c r="B28" s="14" t="inlineStr">
        <is>
          <t>NIKHIL VARKEY</t>
        </is>
      </c>
      <c r="C28" s="14" t="inlineStr">
        <is>
          <t>ELECTRICIAN</t>
        </is>
      </c>
      <c r="D28" s="14" t="inlineStr">
        <is>
          <t>TN0114</t>
        </is>
      </c>
      <c r="E28" s="13" t="n">
        <v>24</v>
      </c>
      <c r="F28" s="15">
        <f>E28*8</f>
        <v/>
      </c>
      <c r="G28" s="16" t="n">
        <v>0</v>
      </c>
      <c r="H28" s="15">
        <f>F28+G28</f>
        <v/>
      </c>
      <c r="I28" s="16" t="n">
        <v>102.81</v>
      </c>
      <c r="J28" s="17">
        <f>IFERROR(I28/H28,0)</f>
        <v/>
      </c>
      <c r="K28" s="17">
        <f>MAX(0,1-J28)</f>
        <v/>
      </c>
      <c r="L28" s="18" t="n">
        <v>8806.959999999999</v>
      </c>
      <c r="M28" s="16" t="n">
        <v>102.81</v>
      </c>
      <c r="N28" s="15">
        <f>M28+E28*2</f>
        <v/>
      </c>
      <c r="O28" s="17">
        <f>MIN(1.25,J28+15%)</f>
        <v/>
      </c>
      <c r="P28" s="17">
        <f>J28</f>
        <v/>
      </c>
      <c r="Q28" s="17">
        <f>MIN(1.25,O28*P28/90%)</f>
        <v/>
      </c>
    </row>
    <row r="29">
      <c r="A29" s="13" t="n">
        <v>24</v>
      </c>
      <c r="B29" s="14" t="inlineStr">
        <is>
          <t>SAFIQUE MAHAMMAD</t>
        </is>
      </c>
      <c r="C29" s="14" t="inlineStr">
        <is>
          <t>DENTER</t>
        </is>
      </c>
      <c r="D29" s="14" t="inlineStr">
        <is>
          <t>TN0116</t>
        </is>
      </c>
      <c r="E29" s="13" t="n">
        <v>23</v>
      </c>
      <c r="F29" s="15">
        <f>E29*8</f>
        <v/>
      </c>
      <c r="G29" s="16" t="n">
        <v>0</v>
      </c>
      <c r="H29" s="15">
        <f>F29+G29</f>
        <v/>
      </c>
      <c r="I29" s="16" t="n">
        <v>135.91</v>
      </c>
      <c r="J29" s="17">
        <f>IFERROR(I29/H29,0)</f>
        <v/>
      </c>
      <c r="K29" s="17">
        <f>MAX(0,1-J29)</f>
        <v/>
      </c>
      <c r="L29" s="18" t="n">
        <v>11817.93</v>
      </c>
      <c r="M29" s="16" t="n">
        <v>135.91</v>
      </c>
      <c r="N29" s="15">
        <f>M29+E29*2</f>
        <v/>
      </c>
      <c r="O29" s="17">
        <f>MIN(1.25,J29+15%)</f>
        <v/>
      </c>
      <c r="P29" s="17">
        <f>J29</f>
        <v/>
      </c>
      <c r="Q29" s="17">
        <f>MIN(1.25,O29*P29/90%)</f>
        <v/>
      </c>
    </row>
    <row r="30">
      <c r="A30" s="13" t="n">
        <v>25</v>
      </c>
      <c r="B30" s="14" t="inlineStr">
        <is>
          <t>MOHAMAMD RAJA</t>
        </is>
      </c>
      <c r="C30" s="14" t="inlineStr">
        <is>
          <t>PAINTER</t>
        </is>
      </c>
      <c r="D30" s="14" t="inlineStr">
        <is>
          <t>TN0121</t>
        </is>
      </c>
      <c r="E30" s="13" t="n">
        <v>23</v>
      </c>
      <c r="F30" s="15">
        <f>E30*8</f>
        <v/>
      </c>
      <c r="G30" s="16" t="n">
        <v>0</v>
      </c>
      <c r="H30" s="15">
        <f>F30+G30</f>
        <v/>
      </c>
      <c r="I30" s="16" t="n">
        <v>129.8</v>
      </c>
      <c r="J30" s="17">
        <f>IFERROR(I30/H30,0)</f>
        <v/>
      </c>
      <c r="K30" s="17">
        <f>MAX(0,1-J30)</f>
        <v/>
      </c>
      <c r="L30" s="18" t="n">
        <v>10890.84</v>
      </c>
      <c r="M30" s="16" t="n">
        <v>129.8</v>
      </c>
      <c r="N30" s="15">
        <f>M30+E30*2</f>
        <v/>
      </c>
      <c r="O30" s="17">
        <f>MIN(1.25,J30+15%)</f>
        <v/>
      </c>
      <c r="P30" s="17">
        <f>J30</f>
        <v/>
      </c>
      <c r="Q30" s="17">
        <f>MIN(1.25,O30*P30/90%)</f>
        <v/>
      </c>
    </row>
    <row r="31">
      <c r="A31" s="13" t="n">
        <v>26</v>
      </c>
      <c r="B31" s="14" t="inlineStr">
        <is>
          <t>EJAJ AHMAD</t>
        </is>
      </c>
      <c r="C31" s="14" t="inlineStr">
        <is>
          <t>DENTER</t>
        </is>
      </c>
      <c r="D31" s="14" t="inlineStr">
        <is>
          <t>TN0122</t>
        </is>
      </c>
      <c r="E31" s="13" t="n">
        <v>22</v>
      </c>
      <c r="F31" s="15">
        <f>E31*8</f>
        <v/>
      </c>
      <c r="G31" s="16" t="n">
        <v>4</v>
      </c>
      <c r="H31" s="15">
        <f>F31+G31</f>
        <v/>
      </c>
      <c r="I31" s="16" t="n">
        <v>146.1</v>
      </c>
      <c r="J31" s="17">
        <f>IFERROR(I31/H31,0)</f>
        <v/>
      </c>
      <c r="K31" s="17">
        <f>MAX(0,1-J31)</f>
        <v/>
      </c>
      <c r="L31" s="18" t="n">
        <v>12631.54</v>
      </c>
      <c r="M31" s="16" t="n">
        <v>146.1</v>
      </c>
      <c r="N31" s="15">
        <f>M31+E31*2</f>
        <v/>
      </c>
      <c r="O31" s="17">
        <f>MIN(1.25,J31+15%)</f>
        <v/>
      </c>
      <c r="P31" s="17">
        <f>J31</f>
        <v/>
      </c>
      <c r="Q31" s="17">
        <f>MIN(1.25,O31*P31/90%)</f>
        <v/>
      </c>
    </row>
    <row r="32">
      <c r="A32" s="13" t="n">
        <v>27</v>
      </c>
      <c r="B32" s="14" t="inlineStr">
        <is>
          <t>MUHAMMAD ALMAS</t>
        </is>
      </c>
      <c r="C32" s="14" t="inlineStr">
        <is>
          <t>DENTER</t>
        </is>
      </c>
      <c r="D32" s="14" t="inlineStr">
        <is>
          <t>TN0128</t>
        </is>
      </c>
      <c r="E32" s="13" t="n">
        <v>24</v>
      </c>
      <c r="F32" s="15">
        <f>E32*8</f>
        <v/>
      </c>
      <c r="G32" s="16" t="n">
        <v>0</v>
      </c>
      <c r="H32" s="15">
        <f>F32+G32</f>
        <v/>
      </c>
      <c r="I32" s="16" t="n">
        <v>113.89</v>
      </c>
      <c r="J32" s="17">
        <f>IFERROR(I32/H32,0)</f>
        <v/>
      </c>
      <c r="K32" s="17">
        <f>MAX(0,1-J32)</f>
        <v/>
      </c>
      <c r="L32" s="18" t="n">
        <v>9882.73</v>
      </c>
      <c r="M32" s="16" t="n">
        <v>113.89</v>
      </c>
      <c r="N32" s="15">
        <f>M32+E32*2</f>
        <v/>
      </c>
      <c r="O32" s="17">
        <f>MIN(1.25,J32+15%)</f>
        <v/>
      </c>
      <c r="P32" s="17">
        <f>J32</f>
        <v/>
      </c>
      <c r="Q32" s="17">
        <f>MIN(1.25,O32*P32/90%)</f>
        <v/>
      </c>
    </row>
    <row r="33">
      <c r="A33" s="13" t="n">
        <v>28</v>
      </c>
      <c r="B33" s="14" t="inlineStr">
        <is>
          <t>Zeshan</t>
        </is>
      </c>
      <c r="C33" s="14" t="inlineStr">
        <is>
          <t>DENTER</t>
        </is>
      </c>
      <c r="D33" s="14" t="inlineStr">
        <is>
          <t>TN0141</t>
        </is>
      </c>
      <c r="E33" s="13" t="n">
        <v>25</v>
      </c>
      <c r="F33" s="15">
        <f>E33*8</f>
        <v/>
      </c>
      <c r="G33" s="16" t="n">
        <v>2</v>
      </c>
      <c r="H33" s="15">
        <f>F33+G33</f>
        <v/>
      </c>
      <c r="I33" s="16" t="n">
        <v>182.66</v>
      </c>
      <c r="J33" s="17">
        <f>IFERROR(I33/H33,0)</f>
        <v/>
      </c>
      <c r="K33" s="17">
        <f>MAX(0,1-J33)</f>
        <v/>
      </c>
      <c r="L33" s="18" t="n">
        <v>15438.54</v>
      </c>
      <c r="M33" s="16" t="n">
        <v>182.66</v>
      </c>
      <c r="N33" s="15">
        <f>M33+E33*2</f>
        <v/>
      </c>
      <c r="O33" s="17">
        <f>MIN(1.25,J33+15%)</f>
        <v/>
      </c>
      <c r="P33" s="17">
        <f>J33</f>
        <v/>
      </c>
      <c r="Q33" s="17">
        <f>MIN(1.25,O33*P33/90%)</f>
        <v/>
      </c>
    </row>
    <row r="34">
      <c r="A34" s="13" t="n">
        <v>29</v>
      </c>
      <c r="B34" s="14" t="inlineStr">
        <is>
          <t>SAIDAB AHAMED</t>
        </is>
      </c>
      <c r="C34" s="14" t="inlineStr">
        <is>
          <t>TYRE TECHNICIAN</t>
        </is>
      </c>
      <c r="D34" s="14" t="inlineStr">
        <is>
          <t>TN0150</t>
        </is>
      </c>
      <c r="E34" s="13" t="n">
        <v>25</v>
      </c>
      <c r="F34" s="15">
        <f>E34*8</f>
        <v/>
      </c>
      <c r="G34" s="16" t="n">
        <v>0</v>
      </c>
      <c r="H34" s="15">
        <f>F34+G34</f>
        <v/>
      </c>
      <c r="I34" s="16" t="n">
        <v>169.64</v>
      </c>
      <c r="J34" s="17">
        <f>IFERROR(I34/H34,0)</f>
        <v/>
      </c>
      <c r="K34" s="17">
        <f>MAX(0,1-J34)</f>
        <v/>
      </c>
      <c r="L34" s="18" t="n">
        <v>14661.07</v>
      </c>
      <c r="M34" s="16" t="n">
        <v>169.64</v>
      </c>
      <c r="N34" s="15">
        <f>M34+E34*2</f>
        <v/>
      </c>
      <c r="O34" s="17">
        <f>MIN(1.25,J34+15%)</f>
        <v/>
      </c>
      <c r="P34" s="17">
        <f>J34</f>
        <v/>
      </c>
      <c r="Q34" s="17">
        <f>MIN(1.25,O34*P34/90%)</f>
        <v/>
      </c>
    </row>
    <row r="35">
      <c r="A35" s="13" t="n">
        <v>30</v>
      </c>
      <c r="B35" s="14" t="inlineStr">
        <is>
          <t>FRANCIS AGEWI</t>
        </is>
      </c>
      <c r="C35" s="14" t="inlineStr">
        <is>
          <t>MECHANIC</t>
        </is>
      </c>
      <c r="D35" s="14" t="inlineStr">
        <is>
          <t>TN0171</t>
        </is>
      </c>
      <c r="E35" s="13" t="n">
        <v>24</v>
      </c>
      <c r="F35" s="15">
        <f>E35*8</f>
        <v/>
      </c>
      <c r="G35" s="16" t="n">
        <v>2</v>
      </c>
      <c r="H35" s="15">
        <f>F35+G35</f>
        <v/>
      </c>
      <c r="I35" s="16" t="n">
        <v>176.71</v>
      </c>
      <c r="J35" s="17">
        <f>IFERROR(I35/H35,0)</f>
        <v/>
      </c>
      <c r="K35" s="17">
        <f>MAX(0,1-J35)</f>
        <v/>
      </c>
      <c r="L35" s="18" t="n">
        <v>15243.2</v>
      </c>
      <c r="M35" s="16" t="n">
        <v>176.71</v>
      </c>
      <c r="N35" s="15">
        <f>M35+E35*2</f>
        <v/>
      </c>
      <c r="O35" s="17">
        <f>MIN(1.25,J35+15%)</f>
        <v/>
      </c>
      <c r="P35" s="17">
        <f>J35</f>
        <v/>
      </c>
      <c r="Q35" s="17">
        <f>MIN(1.25,O35*P35/90%)</f>
        <v/>
      </c>
    </row>
    <row r="36">
      <c r="A36" s="13" t="n">
        <v>31</v>
      </c>
      <c r="B36" s="14" t="inlineStr">
        <is>
          <t>Ally Ibrahim</t>
        </is>
      </c>
      <c r="C36" s="14" t="inlineStr">
        <is>
          <t>DENTER</t>
        </is>
      </c>
      <c r="D36" s="14" t="inlineStr">
        <is>
          <t>TN0180</t>
        </is>
      </c>
      <c r="E36" s="13" t="n">
        <v>16</v>
      </c>
      <c r="F36" s="15">
        <f>E36*8</f>
        <v/>
      </c>
      <c r="G36" s="16" t="n">
        <v>0</v>
      </c>
      <c r="H36" s="15">
        <f>F36+G36</f>
        <v/>
      </c>
      <c r="I36" s="16" t="n">
        <v>35.65</v>
      </c>
      <c r="J36" s="17">
        <f>IFERROR(I36/H36,0)</f>
        <v/>
      </c>
      <c r="K36" s="17">
        <f>MAX(0,1-J36)</f>
        <v/>
      </c>
      <c r="L36" s="18" t="n">
        <v>3038.25</v>
      </c>
      <c r="M36" s="16" t="n">
        <v>35.65</v>
      </c>
      <c r="N36" s="15">
        <f>M36+E36*2</f>
        <v/>
      </c>
      <c r="O36" s="17">
        <f>MIN(1.25,J36+15%)</f>
        <v/>
      </c>
      <c r="P36" s="17">
        <f>J36</f>
        <v/>
      </c>
      <c r="Q36" s="17">
        <f>MIN(1.25,O36*P36/90%)</f>
        <v/>
      </c>
    </row>
    <row r="37">
      <c r="A37" s="13" t="n">
        <v>32</v>
      </c>
      <c r="B37" s="14" t="inlineStr">
        <is>
          <t>RATHEETH PANICHOTH</t>
        </is>
      </c>
      <c r="C37" s="14" t="inlineStr">
        <is>
          <t>ELECTRICIAN</t>
        </is>
      </c>
      <c r="D37" s="14" t="inlineStr">
        <is>
          <t>TN0181</t>
        </is>
      </c>
      <c r="E37" s="13" t="n">
        <v>25</v>
      </c>
      <c r="F37" s="15">
        <f>E37*8</f>
        <v/>
      </c>
      <c r="G37" s="16" t="n">
        <v>0</v>
      </c>
      <c r="H37" s="15">
        <f>F37+G37</f>
        <v/>
      </c>
      <c r="I37" s="16" t="n">
        <v>154.43</v>
      </c>
      <c r="J37" s="17">
        <f>IFERROR(I37/H37,0)</f>
        <v/>
      </c>
      <c r="K37" s="17">
        <f>MAX(0,1-J37)</f>
        <v/>
      </c>
      <c r="L37" s="18" t="n">
        <v>13409.75</v>
      </c>
      <c r="M37" s="16" t="n">
        <v>154.43</v>
      </c>
      <c r="N37" s="15">
        <f>M37+E37*2</f>
        <v/>
      </c>
      <c r="O37" s="17">
        <f>MIN(1.25,J37+15%)</f>
        <v/>
      </c>
      <c r="P37" s="17">
        <f>J37</f>
        <v/>
      </c>
      <c r="Q37" s="17">
        <f>MIN(1.25,O37*P37/90%)</f>
        <v/>
      </c>
    </row>
    <row r="38">
      <c r="A38" s="13" t="n">
        <v>33</v>
      </c>
      <c r="B38" s="14" t="inlineStr">
        <is>
          <t>MARK KAYIGO</t>
        </is>
      </c>
      <c r="C38" s="14" t="inlineStr">
        <is>
          <t>MECHANIC</t>
        </is>
      </c>
      <c r="D38" s="14" t="inlineStr">
        <is>
          <t>TN0182</t>
        </is>
      </c>
      <c r="E38" s="13" t="n">
        <v>25</v>
      </c>
      <c r="F38" s="15">
        <f>E38*8</f>
        <v/>
      </c>
      <c r="G38" s="16" t="n">
        <v>4</v>
      </c>
      <c r="H38" s="15">
        <f>F38+G38</f>
        <v/>
      </c>
      <c r="I38" s="16" t="n">
        <v>189.01</v>
      </c>
      <c r="J38" s="17">
        <f>IFERROR(I38/H38,0)</f>
        <v/>
      </c>
      <c r="K38" s="17">
        <f>MAX(0,1-J38)</f>
        <v/>
      </c>
      <c r="L38" s="18" t="n">
        <v>15995.48</v>
      </c>
      <c r="M38" s="16" t="n">
        <v>189.01</v>
      </c>
      <c r="N38" s="15">
        <f>M38+E38*2</f>
        <v/>
      </c>
      <c r="O38" s="17">
        <f>MIN(1.25,J38+15%)</f>
        <v/>
      </c>
      <c r="P38" s="17">
        <f>J38</f>
        <v/>
      </c>
      <c r="Q38" s="17">
        <f>MIN(1.25,O38*P38/90%)</f>
        <v/>
      </c>
    </row>
    <row r="39">
      <c r="A39" s="13" t="n">
        <v>34</v>
      </c>
      <c r="B39" s="14" t="inlineStr">
        <is>
          <t>ENAYAT SHAIKH ALI SHAIKH</t>
        </is>
      </c>
      <c r="C39" s="14" t="inlineStr">
        <is>
          <t>PAINTER</t>
        </is>
      </c>
      <c r="D39" s="14" t="inlineStr">
        <is>
          <t>TN0185</t>
        </is>
      </c>
      <c r="E39" s="13" t="n">
        <v>24</v>
      </c>
      <c r="F39" s="15">
        <f>E39*8</f>
        <v/>
      </c>
      <c r="G39" s="16" t="n">
        <v>1</v>
      </c>
      <c r="H39" s="15">
        <f>F39+G39</f>
        <v/>
      </c>
      <c r="I39" s="16" t="n">
        <v>141.27</v>
      </c>
      <c r="J39" s="17">
        <f>IFERROR(I39/H39,0)</f>
        <v/>
      </c>
      <c r="K39" s="17">
        <f>MAX(0,1-J39)</f>
        <v/>
      </c>
      <c r="L39" s="18" t="n">
        <v>11833.8</v>
      </c>
      <c r="M39" s="16" t="n">
        <v>141.27</v>
      </c>
      <c r="N39" s="15">
        <f>M39+E39*2</f>
        <v/>
      </c>
      <c r="O39" s="17">
        <f>MIN(1.25,J39+15%)</f>
        <v/>
      </c>
      <c r="P39" s="17">
        <f>J39</f>
        <v/>
      </c>
      <c r="Q39" s="17">
        <f>MIN(1.25,O39*P39/90%)</f>
        <v/>
      </c>
    </row>
    <row r="40">
      <c r="A40" s="13" t="n">
        <v>35</v>
      </c>
      <c r="B40" s="14" t="inlineStr">
        <is>
          <t>WAQAS GUL KHAN</t>
        </is>
      </c>
      <c r="C40" s="14" t="inlineStr">
        <is>
          <t>PAINTER</t>
        </is>
      </c>
      <c r="D40" s="14" t="inlineStr">
        <is>
          <t>TN0186</t>
        </is>
      </c>
      <c r="E40" s="13" t="n">
        <v>25</v>
      </c>
      <c r="F40" s="15">
        <f>E40*8</f>
        <v/>
      </c>
      <c r="G40" s="16" t="n">
        <v>2</v>
      </c>
      <c r="H40" s="15">
        <f>F40+G40</f>
        <v/>
      </c>
      <c r="I40" s="16" t="n">
        <v>165.14</v>
      </c>
      <c r="J40" s="17">
        <f>IFERROR(I40/H40,0)</f>
        <v/>
      </c>
      <c r="K40" s="17">
        <f>MAX(0,1-J40)</f>
        <v/>
      </c>
      <c r="L40" s="18" t="n">
        <v>14327.72</v>
      </c>
      <c r="M40" s="16" t="n">
        <v>165.14</v>
      </c>
      <c r="N40" s="15">
        <f>M40+E40*2</f>
        <v/>
      </c>
      <c r="O40" s="17">
        <f>MIN(1.25,J40+15%)</f>
        <v/>
      </c>
      <c r="P40" s="17">
        <f>J40</f>
        <v/>
      </c>
      <c r="Q40" s="17">
        <f>MIN(1.25,O40*P40/90%)</f>
        <v/>
      </c>
    </row>
    <row r="41">
      <c r="A41" s="13" t="n">
        <v>36</v>
      </c>
      <c r="B41" s="14" t="inlineStr">
        <is>
          <t>FARHAN AHAMAD</t>
        </is>
      </c>
      <c r="C41" s="14" t="inlineStr">
        <is>
          <t>MECHANIC</t>
        </is>
      </c>
      <c r="D41" s="14" t="inlineStr">
        <is>
          <t>TN0187</t>
        </is>
      </c>
      <c r="E41" s="13" t="n">
        <v>23</v>
      </c>
      <c r="F41" s="15">
        <f>E41*8</f>
        <v/>
      </c>
      <c r="G41" s="16" t="n">
        <v>1</v>
      </c>
      <c r="H41" s="15">
        <f>F41+G41</f>
        <v/>
      </c>
      <c r="I41" s="16" t="n">
        <v>164.95</v>
      </c>
      <c r="J41" s="17">
        <f>IFERROR(I41/H41,0)</f>
        <v/>
      </c>
      <c r="K41" s="17">
        <f>MAX(0,1-J41)</f>
        <v/>
      </c>
      <c r="L41" s="18" t="n">
        <v>13817.22</v>
      </c>
      <c r="M41" s="16" t="n">
        <v>164.95</v>
      </c>
      <c r="N41" s="15">
        <f>M41+E41*2</f>
        <v/>
      </c>
      <c r="O41" s="17">
        <f>MIN(1.25,J41+15%)</f>
        <v/>
      </c>
      <c r="P41" s="17">
        <f>J41</f>
        <v/>
      </c>
      <c r="Q41" s="17">
        <f>MIN(1.25,O41*P41/90%)</f>
        <v/>
      </c>
    </row>
    <row r="42">
      <c r="A42" s="13" t="n">
        <v>37</v>
      </c>
      <c r="B42" s="14" t="inlineStr">
        <is>
          <t>ABDELILAH BOUDINA</t>
        </is>
      </c>
      <c r="C42" s="14" t="inlineStr">
        <is>
          <t>PAINTER</t>
        </is>
      </c>
      <c r="D42" s="14" t="inlineStr">
        <is>
          <t>TN0201</t>
        </is>
      </c>
      <c r="E42" s="13" t="n">
        <v>1</v>
      </c>
      <c r="F42" s="15">
        <f>E42*8</f>
        <v/>
      </c>
      <c r="G42" s="16" t="n">
        <v>0</v>
      </c>
      <c r="H42" s="15">
        <f>F42+G42</f>
        <v/>
      </c>
      <c r="I42" s="16" t="n">
        <v>0.73</v>
      </c>
      <c r="J42" s="17">
        <f>IFERROR(I42/H42,0)</f>
        <v/>
      </c>
      <c r="K42" s="17">
        <f>MAX(0,1-J42)</f>
        <v/>
      </c>
      <c r="L42" s="18" t="n">
        <v>61.88</v>
      </c>
      <c r="M42" s="16" t="n">
        <v>0.73</v>
      </c>
      <c r="N42" s="15">
        <f>M42+E42*2</f>
        <v/>
      </c>
      <c r="O42" s="17">
        <f>MIN(1.25,J42+15%)</f>
        <v/>
      </c>
      <c r="P42" s="17">
        <f>J42</f>
        <v/>
      </c>
      <c r="Q42" s="17">
        <f>MIN(1.25,O42*P42/90%)</f>
        <v/>
      </c>
    </row>
    <row r="43">
      <c r="A43" s="13" t="n">
        <v>38</v>
      </c>
      <c r="B43" s="14" t="inlineStr">
        <is>
          <t>Jerin Kurian Varghese</t>
        </is>
      </c>
      <c r="C43" s="14" t="inlineStr">
        <is>
          <t>MECHANIC</t>
        </is>
      </c>
      <c r="D43" s="14" t="inlineStr">
        <is>
          <t>TN0204</t>
        </is>
      </c>
      <c r="E43" s="13" t="n">
        <v>21</v>
      </c>
      <c r="F43" s="15">
        <f>E43*8</f>
        <v/>
      </c>
      <c r="G43" s="16" t="n">
        <v>0</v>
      </c>
      <c r="H43" s="15">
        <f>F43+G43</f>
        <v/>
      </c>
      <c r="I43" s="16" t="n">
        <v>145.15</v>
      </c>
      <c r="J43" s="17">
        <f>IFERROR(I43/H43,0)</f>
        <v/>
      </c>
      <c r="K43" s="17">
        <f>MAX(0,1-J43)</f>
        <v/>
      </c>
      <c r="L43" s="18" t="n">
        <v>12287.18</v>
      </c>
      <c r="M43" s="16" t="n">
        <v>145.15</v>
      </c>
      <c r="N43" s="15">
        <f>M43+E43*2</f>
        <v/>
      </c>
      <c r="O43" s="17">
        <f>MIN(1.25,J43+15%)</f>
        <v/>
      </c>
      <c r="P43" s="17">
        <f>J43</f>
        <v/>
      </c>
      <c r="Q43" s="17">
        <f>MIN(1.25,O43*P43/90%)</f>
        <v/>
      </c>
    </row>
    <row r="44">
      <c r="A44" s="13" t="n">
        <v>39</v>
      </c>
      <c r="B44" s="14" t="inlineStr">
        <is>
          <t>Mohammed Monjur</t>
        </is>
      </c>
      <c r="C44" s="14" t="inlineStr">
        <is>
          <t>MECHANIC</t>
        </is>
      </c>
      <c r="D44" s="14" t="inlineStr">
        <is>
          <t>TN0209</t>
        </is>
      </c>
      <c r="E44" s="13" t="n">
        <v>23</v>
      </c>
      <c r="F44" s="15">
        <f>E44*8</f>
        <v/>
      </c>
      <c r="G44" s="16" t="n">
        <v>4</v>
      </c>
      <c r="H44" s="15">
        <f>F44+G44</f>
        <v/>
      </c>
      <c r="I44" s="16" t="n">
        <v>175.59</v>
      </c>
      <c r="J44" s="17">
        <f>IFERROR(I44/H44,0)</f>
        <v/>
      </c>
      <c r="K44" s="17">
        <f>MAX(0,1-J44)</f>
        <v/>
      </c>
      <c r="L44" s="18" t="n">
        <v>14823.09</v>
      </c>
      <c r="M44" s="16" t="n">
        <v>175.59</v>
      </c>
      <c r="N44" s="15">
        <f>M44+E44*2</f>
        <v/>
      </c>
      <c r="O44" s="17">
        <f>MIN(1.25,J44+15%)</f>
        <v/>
      </c>
      <c r="P44" s="17">
        <f>J44</f>
        <v/>
      </c>
      <c r="Q44" s="17">
        <f>MIN(1.25,O44*P44/90%)</f>
        <v/>
      </c>
    </row>
    <row r="45">
      <c r="A45" s="13" t="n">
        <v>40</v>
      </c>
      <c r="B45" s="14" t="inlineStr">
        <is>
          <t>ZEGER HAYAT MOHAMMAD ZA</t>
        </is>
      </c>
      <c r="C45" s="14" t="inlineStr">
        <is>
          <t>MECHANIC</t>
        </is>
      </c>
      <c r="D45" s="14" t="inlineStr">
        <is>
          <t>TN0210</t>
        </is>
      </c>
      <c r="E45" s="13" t="n">
        <v>24</v>
      </c>
      <c r="F45" s="15">
        <f>E45*8</f>
        <v/>
      </c>
      <c r="G45" s="16" t="n">
        <v>0</v>
      </c>
      <c r="H45" s="15">
        <f>F45+G45</f>
        <v/>
      </c>
      <c r="I45" s="16" t="n">
        <v>125.58</v>
      </c>
      <c r="J45" s="17">
        <f>IFERROR(I45/H45,0)</f>
        <v/>
      </c>
      <c r="K45" s="17">
        <f>MAX(0,1-J45)</f>
        <v/>
      </c>
      <c r="L45" s="18" t="n">
        <v>10823.37</v>
      </c>
      <c r="M45" s="16" t="n">
        <v>125.58</v>
      </c>
      <c r="N45" s="15">
        <f>M45+E45*2</f>
        <v/>
      </c>
      <c r="O45" s="17">
        <f>MIN(1.25,J45+15%)</f>
        <v/>
      </c>
      <c r="P45" s="17">
        <f>J45</f>
        <v/>
      </c>
      <c r="Q45" s="17">
        <f>MIN(1.25,O45*P45/90%)</f>
        <v/>
      </c>
    </row>
    <row r="46">
      <c r="A46" s="13" t="n">
        <v>41</v>
      </c>
      <c r="B46" s="14" t="inlineStr">
        <is>
          <t>BIJU M UNNI</t>
        </is>
      </c>
      <c r="C46" s="14" t="inlineStr">
        <is>
          <t>PAINTER</t>
        </is>
      </c>
      <c r="D46" s="14" t="inlineStr">
        <is>
          <t>TN0220</t>
        </is>
      </c>
      <c r="E46" s="13" t="n">
        <v>25</v>
      </c>
      <c r="F46" s="15">
        <f>E46*8</f>
        <v/>
      </c>
      <c r="G46" s="16" t="n">
        <v>4</v>
      </c>
      <c r="H46" s="15">
        <f>F46+G46</f>
        <v/>
      </c>
      <c r="I46" s="16" t="n">
        <v>118.71</v>
      </c>
      <c r="J46" s="17">
        <f>IFERROR(I46/H46,0)</f>
        <v/>
      </c>
      <c r="K46" s="17">
        <f>MAX(0,1-J46)</f>
        <v/>
      </c>
      <c r="L46" s="18" t="n">
        <v>10215.96</v>
      </c>
      <c r="M46" s="16" t="n">
        <v>118.71</v>
      </c>
      <c r="N46" s="15">
        <f>M46+E46*2</f>
        <v/>
      </c>
      <c r="O46" s="17">
        <f>MIN(1.25,J46+15%)</f>
        <v/>
      </c>
      <c r="P46" s="17">
        <f>J46</f>
        <v/>
      </c>
      <c r="Q46" s="17">
        <f>MIN(1.25,O46*P46/90%)</f>
        <v/>
      </c>
    </row>
    <row r="47">
      <c r="A47" s="13" t="n">
        <v>42</v>
      </c>
      <c r="B47" s="14" t="inlineStr">
        <is>
          <t>DIBAKAR SAHOO MURALDHAR</t>
        </is>
      </c>
      <c r="C47" s="14" t="inlineStr">
        <is>
          <t>PAINTER</t>
        </is>
      </c>
      <c r="D47" s="14" t="inlineStr">
        <is>
          <t>TN0222</t>
        </is>
      </c>
      <c r="E47" s="13" t="n">
        <v>24</v>
      </c>
      <c r="F47" s="15">
        <f>E47*8</f>
        <v/>
      </c>
      <c r="G47" s="16" t="n">
        <v>0</v>
      </c>
      <c r="H47" s="15">
        <f>F47+G47</f>
        <v/>
      </c>
      <c r="I47" s="16" t="n">
        <v>166.97</v>
      </c>
      <c r="J47" s="17">
        <f>IFERROR(I47/H47,0)</f>
        <v/>
      </c>
      <c r="K47" s="17">
        <f>MAX(0,1-J47)</f>
        <v/>
      </c>
      <c r="L47" s="18" t="n">
        <v>13980.01</v>
      </c>
      <c r="M47" s="16" t="n">
        <v>166.97</v>
      </c>
      <c r="N47" s="15">
        <f>M47+E47*2</f>
        <v/>
      </c>
      <c r="O47" s="17">
        <f>MIN(1.25,J47+15%)</f>
        <v/>
      </c>
      <c r="P47" s="17">
        <f>J47</f>
        <v/>
      </c>
      <c r="Q47" s="17">
        <f>MIN(1.25,O47*P47/90%)</f>
        <v/>
      </c>
    </row>
    <row r="48">
      <c r="A48" s="13" t="n">
        <v>43</v>
      </c>
      <c r="B48" s="14" t="inlineStr">
        <is>
          <t>SHAIKH MUSTAQUE ALI</t>
        </is>
      </c>
      <c r="C48" s="14" t="inlineStr">
        <is>
          <t>DENTER</t>
        </is>
      </c>
      <c r="D48" s="14" t="inlineStr">
        <is>
          <t>TN0224</t>
        </is>
      </c>
      <c r="E48" s="13" t="n">
        <v>25</v>
      </c>
      <c r="F48" s="15">
        <f>E48*8</f>
        <v/>
      </c>
      <c r="G48" s="16" t="n">
        <v>4</v>
      </c>
      <c r="H48" s="15">
        <f>F48+G48</f>
        <v/>
      </c>
      <c r="I48" s="16" t="n">
        <v>157</v>
      </c>
      <c r="J48" s="17">
        <f>IFERROR(I48/H48,0)</f>
        <v/>
      </c>
      <c r="K48" s="17">
        <f>MAX(0,1-J48)</f>
        <v/>
      </c>
      <c r="L48" s="18" t="n">
        <v>13651.13</v>
      </c>
      <c r="M48" s="16" t="n">
        <v>157</v>
      </c>
      <c r="N48" s="15">
        <f>M48+E48*2</f>
        <v/>
      </c>
      <c r="O48" s="17">
        <f>MIN(1.25,J48+15%)</f>
        <v/>
      </c>
      <c r="P48" s="17">
        <f>J48</f>
        <v/>
      </c>
      <c r="Q48" s="17">
        <f>MIN(1.25,O48*P48/90%)</f>
        <v/>
      </c>
    </row>
    <row r="49">
      <c r="A49" s="13" t="n">
        <v>44</v>
      </c>
      <c r="B49" s="14" t="inlineStr">
        <is>
          <t>ZEESHAN IHSAN ULLAH</t>
        </is>
      </c>
      <c r="C49" s="14" t="inlineStr">
        <is>
          <t>DENTER</t>
        </is>
      </c>
      <c r="D49" s="14" t="inlineStr">
        <is>
          <t>TN0226</t>
        </is>
      </c>
      <c r="E49" s="13" t="n">
        <v>25</v>
      </c>
      <c r="F49" s="15">
        <f>E49*8</f>
        <v/>
      </c>
      <c r="G49" s="16" t="n">
        <v>4</v>
      </c>
      <c r="H49" s="15">
        <f>F49+G49</f>
        <v/>
      </c>
      <c r="I49" s="16" t="n">
        <v>175.05</v>
      </c>
      <c r="J49" s="17">
        <f>IFERROR(I49/H49,0)</f>
        <v/>
      </c>
      <c r="K49" s="17">
        <f>MAX(0,1-J49)</f>
        <v/>
      </c>
      <c r="L49" s="18" t="n">
        <v>14862.39</v>
      </c>
      <c r="M49" s="16" t="n">
        <v>175.05</v>
      </c>
      <c r="N49" s="15">
        <f>M49+E49*2</f>
        <v/>
      </c>
      <c r="O49" s="17">
        <f>MIN(1.25,J49+15%)</f>
        <v/>
      </c>
      <c r="P49" s="17">
        <f>J49</f>
        <v/>
      </c>
      <c r="Q49" s="17">
        <f>MIN(1.25,O49*P49/90%)</f>
        <v/>
      </c>
    </row>
    <row r="50">
      <c r="A50" s="13" t="n">
        <v>45</v>
      </c>
      <c r="B50" s="14" t="inlineStr">
        <is>
          <t>MIR EJAJ ALI</t>
        </is>
      </c>
      <c r="C50" s="14" t="inlineStr">
        <is>
          <t>PAINTER</t>
        </is>
      </c>
      <c r="D50" s="14" t="inlineStr">
        <is>
          <t>TN0227</t>
        </is>
      </c>
      <c r="E50" s="13" t="n">
        <v>17</v>
      </c>
      <c r="F50" s="15">
        <f>E50*8</f>
        <v/>
      </c>
      <c r="G50" s="16" t="n">
        <v>0</v>
      </c>
      <c r="H50" s="15">
        <f>F50+G50</f>
        <v/>
      </c>
      <c r="I50" s="16" t="n">
        <v>105.09</v>
      </c>
      <c r="J50" s="17">
        <f>IFERROR(I50/H50,0)</f>
        <v/>
      </c>
      <c r="K50" s="17">
        <f>MAX(0,1-J50)</f>
        <v/>
      </c>
      <c r="L50" s="18" t="n">
        <v>9029.32</v>
      </c>
      <c r="M50" s="16" t="n">
        <v>105.09</v>
      </c>
      <c r="N50" s="15">
        <f>M50+E50*2</f>
        <v/>
      </c>
      <c r="O50" s="17">
        <f>MIN(1.25,J50+15%)</f>
        <v/>
      </c>
      <c r="P50" s="17">
        <f>J50</f>
        <v/>
      </c>
      <c r="Q50" s="17">
        <f>MIN(1.25,O50*P50/90%)</f>
        <v/>
      </c>
    </row>
    <row r="51">
      <c r="A51" s="13" t="n">
        <v>46</v>
      </c>
      <c r="B51" s="14" t="inlineStr">
        <is>
          <t>SAMUEL</t>
        </is>
      </c>
      <c r="C51" s="14" t="inlineStr">
        <is>
          <t>MECHANIC</t>
        </is>
      </c>
      <c r="D51" s="14" t="inlineStr">
        <is>
          <t>TN0235</t>
        </is>
      </c>
      <c r="E51" s="13" t="n">
        <v>22</v>
      </c>
      <c r="F51" s="15">
        <f>E51*8</f>
        <v/>
      </c>
      <c r="G51" s="16" t="n">
        <v>0</v>
      </c>
      <c r="H51" s="15">
        <f>F51+G51</f>
        <v/>
      </c>
      <c r="I51" s="16" t="n">
        <v>122.22</v>
      </c>
      <c r="J51" s="17">
        <f>IFERROR(I51/H51,0)</f>
        <v/>
      </c>
      <c r="K51" s="17">
        <f>MAX(0,1-J51)</f>
        <v/>
      </c>
      <c r="L51" s="18" t="n">
        <v>10493.55</v>
      </c>
      <c r="M51" s="16" t="n">
        <v>122.22</v>
      </c>
      <c r="N51" s="15">
        <f>M51+E51*2</f>
        <v/>
      </c>
      <c r="O51" s="17">
        <f>MIN(1.25,J51+15%)</f>
        <v/>
      </c>
      <c r="P51" s="17">
        <f>J51</f>
        <v/>
      </c>
      <c r="Q51" s="17">
        <f>MIN(1.25,O51*P51/90%)</f>
        <v/>
      </c>
    </row>
    <row r="52">
      <c r="A52" s="13" t="n">
        <v>47</v>
      </c>
      <c r="B52" s="14" t="inlineStr">
        <is>
          <t>BILAL KHAN</t>
        </is>
      </c>
      <c r="C52" s="14" t="inlineStr">
        <is>
          <t>DENTER</t>
        </is>
      </c>
      <c r="D52" s="14" t="inlineStr">
        <is>
          <t>TN0236</t>
        </is>
      </c>
      <c r="E52" s="13" t="n">
        <v>25</v>
      </c>
      <c r="F52" s="15">
        <f>E52*8</f>
        <v/>
      </c>
      <c r="G52" s="16" t="n">
        <v>0</v>
      </c>
      <c r="H52" s="15">
        <f>F52+G52</f>
        <v/>
      </c>
      <c r="I52" s="16" t="n">
        <v>166.61</v>
      </c>
      <c r="J52" s="17">
        <f>IFERROR(I52/H52,0)</f>
        <v/>
      </c>
      <c r="K52" s="17">
        <f>MAX(0,1-J52)</f>
        <v/>
      </c>
      <c r="L52" s="18" t="n">
        <v>14241.72</v>
      </c>
      <c r="M52" s="16" t="n">
        <v>166.61</v>
      </c>
      <c r="N52" s="15">
        <f>M52+E52*2</f>
        <v/>
      </c>
      <c r="O52" s="17">
        <f>MIN(1.25,J52+15%)</f>
        <v/>
      </c>
      <c r="P52" s="17">
        <f>J52</f>
        <v/>
      </c>
      <c r="Q52" s="17">
        <f>MIN(1.25,O52*P52/90%)</f>
        <v/>
      </c>
    </row>
    <row r="53">
      <c r="A53" s="13" t="n">
        <v>48</v>
      </c>
      <c r="B53" s="14" t="inlineStr">
        <is>
          <t>Mohammad Habib Raza</t>
        </is>
      </c>
      <c r="C53" s="14" t="inlineStr">
        <is>
          <t>MECHANIC</t>
        </is>
      </c>
      <c r="D53" s="14" t="inlineStr">
        <is>
          <t>TN0238</t>
        </is>
      </c>
      <c r="E53" s="13" t="n">
        <v>25</v>
      </c>
      <c r="F53" s="15">
        <f>E53*8</f>
        <v/>
      </c>
      <c r="G53" s="16" t="n">
        <v>1</v>
      </c>
      <c r="H53" s="15">
        <f>F53+G53</f>
        <v/>
      </c>
      <c r="I53" s="16" t="n">
        <v>188.02</v>
      </c>
      <c r="J53" s="17">
        <f>IFERROR(I53/H53,0)</f>
        <v/>
      </c>
      <c r="K53" s="17">
        <f>MAX(0,1-J53)</f>
        <v/>
      </c>
      <c r="L53" s="18" t="n">
        <v>16089.1</v>
      </c>
      <c r="M53" s="16" t="n">
        <v>188.02</v>
      </c>
      <c r="N53" s="15">
        <f>M53+E53*2</f>
        <v/>
      </c>
      <c r="O53" s="17">
        <f>MIN(1.25,J53+15%)</f>
        <v/>
      </c>
      <c r="P53" s="17">
        <f>J53</f>
        <v/>
      </c>
      <c r="Q53" s="17">
        <f>MIN(1.25,O53*P53/90%)</f>
        <v/>
      </c>
    </row>
    <row r="54">
      <c r="A54" s="13" t="n">
        <v>49</v>
      </c>
      <c r="B54" s="14" t="inlineStr">
        <is>
          <t>HAMEED ANIYAMPARAMBIL</t>
        </is>
      </c>
      <c r="C54" s="14" t="inlineStr">
        <is>
          <t>MECHANIC</t>
        </is>
      </c>
      <c r="D54" s="14" t="inlineStr">
        <is>
          <t>TN0239</t>
        </is>
      </c>
      <c r="E54" s="13" t="n">
        <v>25</v>
      </c>
      <c r="F54" s="15">
        <f>E54*8</f>
        <v/>
      </c>
      <c r="G54" s="16" t="n">
        <v>2</v>
      </c>
      <c r="H54" s="15">
        <f>F54+G54</f>
        <v/>
      </c>
      <c r="I54" s="16" t="n">
        <v>125.08</v>
      </c>
      <c r="J54" s="17">
        <f>IFERROR(I54/H54,0)</f>
        <v/>
      </c>
      <c r="K54" s="17">
        <f>MAX(0,1-J54)</f>
        <v/>
      </c>
      <c r="L54" s="18" t="n">
        <v>10382.25</v>
      </c>
      <c r="M54" s="16" t="n">
        <v>125.08</v>
      </c>
      <c r="N54" s="15">
        <f>M54+E54*2</f>
        <v/>
      </c>
      <c r="O54" s="17">
        <f>MIN(1.25,J54+15%)</f>
        <v/>
      </c>
      <c r="P54" s="17">
        <f>J54</f>
        <v/>
      </c>
      <c r="Q54" s="17">
        <f>MIN(1.25,O54*P54/90%)</f>
        <v/>
      </c>
    </row>
    <row r="55">
      <c r="A55" s="13" t="n">
        <v>50</v>
      </c>
      <c r="B55" s="14" t="inlineStr">
        <is>
          <t>AMIR HUSSAIN MUHAMMED</t>
        </is>
      </c>
      <c r="C55" s="14" t="inlineStr">
        <is>
          <t>MECHANIC</t>
        </is>
      </c>
      <c r="D55" s="14" t="inlineStr">
        <is>
          <t>TN0241</t>
        </is>
      </c>
      <c r="E55" s="13" t="n">
        <v>25</v>
      </c>
      <c r="F55" s="15">
        <f>E55*8</f>
        <v/>
      </c>
      <c r="G55" s="16" t="n">
        <v>0</v>
      </c>
      <c r="H55" s="15">
        <f>F55+G55</f>
        <v/>
      </c>
      <c r="I55" s="16" t="n">
        <v>183.57</v>
      </c>
      <c r="J55" s="17">
        <f>IFERROR(I55/H55,0)</f>
        <v/>
      </c>
      <c r="K55" s="17">
        <f>MAX(0,1-J55)</f>
        <v/>
      </c>
      <c r="L55" s="18" t="n">
        <v>15515.83</v>
      </c>
      <c r="M55" s="16" t="n">
        <v>183.57</v>
      </c>
      <c r="N55" s="15">
        <f>M55+E55*2</f>
        <v/>
      </c>
      <c r="O55" s="17">
        <f>MIN(1.25,J55+15%)</f>
        <v/>
      </c>
      <c r="P55" s="17">
        <f>J55</f>
        <v/>
      </c>
      <c r="Q55" s="17">
        <f>MIN(1.25,O55*P55/90%)</f>
        <v/>
      </c>
    </row>
    <row r="56">
      <c r="A56" s="13" t="n">
        <v>51</v>
      </c>
      <c r="B56" s="14" t="inlineStr">
        <is>
          <t>LUBAB UDDIN</t>
        </is>
      </c>
      <c r="C56" s="14" t="inlineStr">
        <is>
          <t>DENTER</t>
        </is>
      </c>
      <c r="D56" s="14" t="inlineStr">
        <is>
          <t>TN0242</t>
        </is>
      </c>
      <c r="E56" s="13" t="n">
        <v>23</v>
      </c>
      <c r="F56" s="15">
        <f>E56*8</f>
        <v/>
      </c>
      <c r="G56" s="16" t="n">
        <v>2</v>
      </c>
      <c r="H56" s="15">
        <f>F56+G56</f>
        <v/>
      </c>
      <c r="I56" s="16" t="n">
        <v>119.56</v>
      </c>
      <c r="J56" s="17">
        <f>IFERROR(I56/H56,0)</f>
        <v/>
      </c>
      <c r="K56" s="17">
        <f>MAX(0,1-J56)</f>
        <v/>
      </c>
      <c r="L56" s="18" t="n">
        <v>10161</v>
      </c>
      <c r="M56" s="16" t="n">
        <v>119.56</v>
      </c>
      <c r="N56" s="15">
        <f>M56+E56*2</f>
        <v/>
      </c>
      <c r="O56" s="17">
        <f>MIN(1.25,J56+15%)</f>
        <v/>
      </c>
      <c r="P56" s="17">
        <f>J56</f>
        <v/>
      </c>
      <c r="Q56" s="17">
        <f>MIN(1.25,O56*P56/90%)</f>
        <v/>
      </c>
    </row>
    <row r="57">
      <c r="A57" s="13" t="n">
        <v>52</v>
      </c>
      <c r="B57" s="14" t="inlineStr">
        <is>
          <t>MOHAMMED ALI</t>
        </is>
      </c>
      <c r="C57" s="14" t="inlineStr">
        <is>
          <t>DENTER</t>
        </is>
      </c>
      <c r="D57" s="14" t="inlineStr">
        <is>
          <t>TN0244</t>
        </is>
      </c>
      <c r="E57" s="13" t="n">
        <v>25</v>
      </c>
      <c r="F57" s="15">
        <f>E57*8</f>
        <v/>
      </c>
      <c r="G57" s="16" t="n">
        <v>0</v>
      </c>
      <c r="H57" s="15">
        <f>F57+G57</f>
        <v/>
      </c>
      <c r="I57" s="16" t="n">
        <v>137.74</v>
      </c>
      <c r="J57" s="17">
        <f>IFERROR(I57/H57,0)</f>
        <v/>
      </c>
      <c r="K57" s="17">
        <f>MAX(0,1-J57)</f>
        <v/>
      </c>
      <c r="L57" s="18" t="n">
        <v>11564.36</v>
      </c>
      <c r="M57" s="16" t="n">
        <v>137.74</v>
      </c>
      <c r="N57" s="15">
        <f>M57+E57*2</f>
        <v/>
      </c>
      <c r="O57" s="17">
        <f>MIN(1.25,J57+15%)</f>
        <v/>
      </c>
      <c r="P57" s="17">
        <f>J57</f>
        <v/>
      </c>
      <c r="Q57" s="17">
        <f>MIN(1.25,O57*P57/90%)</f>
        <v/>
      </c>
    </row>
    <row r="58">
      <c r="A58" s="13" t="n">
        <v>53</v>
      </c>
      <c r="B58" s="14" t="inlineStr">
        <is>
          <t>MAHMOUD MOHAMED MAHDY</t>
        </is>
      </c>
      <c r="C58" s="14" t="inlineStr">
        <is>
          <t>DENTER</t>
        </is>
      </c>
      <c r="D58" s="14" t="inlineStr">
        <is>
          <t>TN0245</t>
        </is>
      </c>
      <c r="E58" s="13" t="n">
        <v>22</v>
      </c>
      <c r="F58" s="15">
        <f>E58*8</f>
        <v/>
      </c>
      <c r="G58" s="16" t="n">
        <v>4</v>
      </c>
      <c r="H58" s="15">
        <f>F58+G58</f>
        <v/>
      </c>
      <c r="I58" s="16" t="n">
        <v>133.49</v>
      </c>
      <c r="J58" s="17">
        <f>IFERROR(I58/H58,0)</f>
        <v/>
      </c>
      <c r="K58" s="17">
        <f>MAX(0,1-J58)</f>
        <v/>
      </c>
      <c r="L58" s="18" t="n">
        <v>11324.44</v>
      </c>
      <c r="M58" s="16" t="n">
        <v>133.49</v>
      </c>
      <c r="N58" s="15">
        <f>M58+E58*2</f>
        <v/>
      </c>
      <c r="O58" s="17">
        <f>MIN(1.25,J58+15%)</f>
        <v/>
      </c>
      <c r="P58" s="17">
        <f>J58</f>
        <v/>
      </c>
      <c r="Q58" s="17">
        <f>MIN(1.25,O58*P58/90%)</f>
        <v/>
      </c>
    </row>
    <row r="59">
      <c r="A59" s="13" t="n">
        <v>54</v>
      </c>
      <c r="B59" s="14" t="inlineStr">
        <is>
          <t>DIN DAYAL</t>
        </is>
      </c>
      <c r="C59" s="14" t="inlineStr">
        <is>
          <t>ELECTRICIAN</t>
        </is>
      </c>
      <c r="D59" s="14" t="inlineStr">
        <is>
          <t>TN0247</t>
        </is>
      </c>
      <c r="E59" s="13" t="n">
        <v>25</v>
      </c>
      <c r="F59" s="15">
        <f>E59*8</f>
        <v/>
      </c>
      <c r="G59" s="16" t="n">
        <v>0</v>
      </c>
      <c r="H59" s="15">
        <f>F59+G59</f>
        <v/>
      </c>
      <c r="I59" s="16" t="n">
        <v>94.16</v>
      </c>
      <c r="J59" s="17">
        <f>IFERROR(I59/H59,0)</f>
        <v/>
      </c>
      <c r="K59" s="17">
        <f>MAX(0,1-J59)</f>
        <v/>
      </c>
      <c r="L59" s="18" t="n">
        <v>7838.98</v>
      </c>
      <c r="M59" s="16" t="n">
        <v>94.16</v>
      </c>
      <c r="N59" s="15">
        <f>M59+E59*2</f>
        <v/>
      </c>
      <c r="O59" s="17">
        <f>MIN(1.25,J59+15%)</f>
        <v/>
      </c>
      <c r="P59" s="17">
        <f>J59</f>
        <v/>
      </c>
      <c r="Q59" s="17">
        <f>MIN(1.25,O59*P59/90%)</f>
        <v/>
      </c>
    </row>
    <row r="60">
      <c r="A60" s="13" t="n">
        <v>55</v>
      </c>
      <c r="B60" s="14" t="inlineStr">
        <is>
          <t>KAMAL HUSSAIN</t>
        </is>
      </c>
      <c r="C60" s="14" t="inlineStr">
        <is>
          <t>MECHANIC</t>
        </is>
      </c>
      <c r="D60" s="14" t="inlineStr">
        <is>
          <t>TN0248</t>
        </is>
      </c>
      <c r="E60" s="13" t="n">
        <v>24</v>
      </c>
      <c r="F60" s="15">
        <f>E60*8</f>
        <v/>
      </c>
      <c r="G60" s="16" t="n">
        <v>2</v>
      </c>
      <c r="H60" s="15">
        <f>F60+G60</f>
        <v/>
      </c>
      <c r="I60" s="16" t="n">
        <v>157.51</v>
      </c>
      <c r="J60" s="17">
        <f>IFERROR(I60/H60,0)</f>
        <v/>
      </c>
      <c r="K60" s="17">
        <f>MAX(0,1-J60)</f>
        <v/>
      </c>
      <c r="L60" s="18" t="n">
        <v>13403.53</v>
      </c>
      <c r="M60" s="16" t="n">
        <v>157.51</v>
      </c>
      <c r="N60" s="15">
        <f>M60+E60*2</f>
        <v/>
      </c>
      <c r="O60" s="17">
        <f>MIN(1.25,J60+15%)</f>
        <v/>
      </c>
      <c r="P60" s="17">
        <f>J60</f>
        <v/>
      </c>
      <c r="Q60" s="17">
        <f>MIN(1.25,O60*P60/90%)</f>
        <v/>
      </c>
    </row>
    <row r="61">
      <c r="A61" s="13" t="n">
        <v>56</v>
      </c>
      <c r="B61" s="14" t="inlineStr">
        <is>
          <t>RAIS MUHAMMAD KHAN YAR</t>
        </is>
      </c>
      <c r="C61" s="14" t="inlineStr">
        <is>
          <t>PAINTER</t>
        </is>
      </c>
      <c r="D61" s="14" t="inlineStr">
        <is>
          <t>TN0250</t>
        </is>
      </c>
      <c r="E61" s="13" t="n">
        <v>11</v>
      </c>
      <c r="F61" s="15">
        <f>E61*8</f>
        <v/>
      </c>
      <c r="G61" s="16" t="n">
        <v>0</v>
      </c>
      <c r="H61" s="15">
        <f>F61+G61</f>
        <v/>
      </c>
      <c r="I61" s="16" t="n">
        <v>53.03</v>
      </c>
      <c r="J61" s="17">
        <f>IFERROR(I61/H61,0)</f>
        <v/>
      </c>
      <c r="K61" s="17">
        <f>MAX(0,1-J61)</f>
        <v/>
      </c>
      <c r="L61" s="18" t="n">
        <v>4529.65</v>
      </c>
      <c r="M61" s="16" t="n">
        <v>53.03</v>
      </c>
      <c r="N61" s="15">
        <f>M61+E61*2</f>
        <v/>
      </c>
      <c r="O61" s="17">
        <f>MIN(1.25,J61+15%)</f>
        <v/>
      </c>
      <c r="P61" s="17">
        <f>J61</f>
        <v/>
      </c>
      <c r="Q61" s="17">
        <f>MIN(1.25,O61*P61/90%)</f>
        <v/>
      </c>
    </row>
    <row r="62">
      <c r="A62" s="13" t="n">
        <v>57</v>
      </c>
      <c r="B62" s="14" t="inlineStr">
        <is>
          <t>RAJEEVAN</t>
        </is>
      </c>
      <c r="C62" s="14" t="inlineStr">
        <is>
          <t>PAINTER</t>
        </is>
      </c>
      <c r="D62" s="14" t="inlineStr">
        <is>
          <t>TN0251</t>
        </is>
      </c>
      <c r="E62" s="13" t="n">
        <v>23</v>
      </c>
      <c r="F62" s="15">
        <f>E62*8</f>
        <v/>
      </c>
      <c r="G62" s="16" t="n">
        <v>0</v>
      </c>
      <c r="H62" s="15">
        <f>F62+G62</f>
        <v/>
      </c>
      <c r="I62" s="16" t="n">
        <v>151.82</v>
      </c>
      <c r="J62" s="17">
        <f>IFERROR(I62/H62,0)</f>
        <v/>
      </c>
      <c r="K62" s="17">
        <f>MAX(0,1-J62)</f>
        <v/>
      </c>
      <c r="L62" s="18" t="n">
        <v>12765.66</v>
      </c>
      <c r="M62" s="16" t="n">
        <v>151.82</v>
      </c>
      <c r="N62" s="15">
        <f>M62+E62*2</f>
        <v/>
      </c>
      <c r="O62" s="17">
        <f>MIN(1.25,J62+15%)</f>
        <v/>
      </c>
      <c r="P62" s="17">
        <f>J62</f>
        <v/>
      </c>
      <c r="Q62" s="17">
        <f>MIN(1.25,O62*P62/90%)</f>
        <v/>
      </c>
    </row>
    <row r="63">
      <c r="A63" s="13" t="n">
        <v>58</v>
      </c>
      <c r="B63" s="14" t="inlineStr">
        <is>
          <t>MOHAMMED NISAR BHURE</t>
        </is>
      </c>
      <c r="C63" s="14" t="inlineStr">
        <is>
          <t>MECHANIC</t>
        </is>
      </c>
      <c r="D63" s="14" t="inlineStr">
        <is>
          <t>TN0252</t>
        </is>
      </c>
      <c r="E63" s="13" t="n">
        <v>23</v>
      </c>
      <c r="F63" s="15">
        <f>E63*8</f>
        <v/>
      </c>
      <c r="G63" s="16" t="n">
        <v>0</v>
      </c>
      <c r="H63" s="15">
        <f>F63+G63</f>
        <v/>
      </c>
      <c r="I63" s="16" t="n">
        <v>103.24</v>
      </c>
      <c r="J63" s="17">
        <f>IFERROR(I63/H63,0)</f>
        <v/>
      </c>
      <c r="K63" s="17">
        <f>MAX(0,1-J63)</f>
        <v/>
      </c>
      <c r="L63" s="18" t="n">
        <v>8682.01</v>
      </c>
      <c r="M63" s="16" t="n">
        <v>103.24</v>
      </c>
      <c r="N63" s="15">
        <f>M63+E63*2</f>
        <v/>
      </c>
      <c r="O63" s="17">
        <f>MIN(1.25,J63+15%)</f>
        <v/>
      </c>
      <c r="P63" s="17">
        <f>J63</f>
        <v/>
      </c>
      <c r="Q63" s="17">
        <f>MIN(1.25,O63*P63/90%)</f>
        <v/>
      </c>
    </row>
    <row r="64">
      <c r="A64" s="13" t="n">
        <v>59</v>
      </c>
      <c r="B64" s="14" t="inlineStr">
        <is>
          <t>MOHAMMED NISAR BHURE</t>
        </is>
      </c>
      <c r="C64" s="14" t="inlineStr">
        <is>
          <t>MECHANIC</t>
        </is>
      </c>
      <c r="D64" s="14" t="inlineStr">
        <is>
          <t>TN0252</t>
        </is>
      </c>
      <c r="E64" s="13" t="n">
        <v>3</v>
      </c>
      <c r="F64" s="15">
        <f>E64*8</f>
        <v/>
      </c>
      <c r="G64" s="16" t="n">
        <v>2</v>
      </c>
      <c r="H64" s="15">
        <f>F64+G64</f>
        <v/>
      </c>
      <c r="I64" s="16" t="n">
        <v>14.82</v>
      </c>
      <c r="J64" s="17">
        <f>IFERROR(I64/H64,0)</f>
        <v/>
      </c>
      <c r="K64" s="17">
        <f>MAX(0,1-J64)</f>
        <v/>
      </c>
      <c r="L64" s="18" t="n">
        <v>1257.59</v>
      </c>
      <c r="M64" s="16" t="n">
        <v>14.82</v>
      </c>
      <c r="N64" s="15">
        <f>M64+E64*2</f>
        <v/>
      </c>
      <c r="O64" s="17">
        <f>MIN(1.25,J64+15%)</f>
        <v/>
      </c>
      <c r="P64" s="17">
        <f>J64</f>
        <v/>
      </c>
      <c r="Q64" s="17">
        <f>MIN(1.25,O64*P64/90%)</f>
        <v/>
      </c>
    </row>
    <row r="65">
      <c r="A65" s="13" t="n">
        <v>60</v>
      </c>
      <c r="B65" s="14" t="inlineStr">
        <is>
          <t>VINODKUMAR KIZHAKKEPURA</t>
        </is>
      </c>
      <c r="C65" s="14" t="inlineStr">
        <is>
          <t>MECHANIC</t>
        </is>
      </c>
      <c r="D65" s="14" t="inlineStr">
        <is>
          <t>TN0253</t>
        </is>
      </c>
      <c r="E65" s="13" t="n">
        <v>18</v>
      </c>
      <c r="F65" s="15">
        <f>E65*8</f>
        <v/>
      </c>
      <c r="G65" s="16" t="n">
        <v>0</v>
      </c>
      <c r="H65" s="15">
        <f>F65+G65</f>
        <v/>
      </c>
      <c r="I65" s="16" t="n">
        <v>68.84</v>
      </c>
      <c r="J65" s="17">
        <f>IFERROR(I65/H65,0)</f>
        <v/>
      </c>
      <c r="K65" s="17">
        <f>MAX(0,1-J65)</f>
        <v/>
      </c>
      <c r="L65" s="18" t="n">
        <v>5729.8</v>
      </c>
      <c r="M65" s="16" t="n">
        <v>68.84</v>
      </c>
      <c r="N65" s="15">
        <f>M65+E65*2</f>
        <v/>
      </c>
      <c r="O65" s="17">
        <f>MIN(1.25,J65+15%)</f>
        <v/>
      </c>
      <c r="P65" s="17">
        <f>J65</f>
        <v/>
      </c>
      <c r="Q65" s="17">
        <f>MIN(1.25,O65*P65/90%)</f>
        <v/>
      </c>
    </row>
    <row r="66">
      <c r="A66" s="13" t="n">
        <v>61</v>
      </c>
      <c r="B66" s="14" t="inlineStr">
        <is>
          <t>ABU BAKAR SIDDIQ TAJ MUHA</t>
        </is>
      </c>
      <c r="C66" s="14" t="inlineStr">
        <is>
          <t>PAINTER</t>
        </is>
      </c>
      <c r="D66" s="14" t="inlineStr">
        <is>
          <t>TN0254</t>
        </is>
      </c>
      <c r="E66" s="13" t="n">
        <v>21</v>
      </c>
      <c r="F66" s="15">
        <f>E66*8</f>
        <v/>
      </c>
      <c r="G66" s="16" t="n">
        <v>0</v>
      </c>
      <c r="H66" s="15">
        <f>F66+G66</f>
        <v/>
      </c>
      <c r="I66" s="16" t="n">
        <v>101.64</v>
      </c>
      <c r="J66" s="17">
        <f>IFERROR(I66/H66,0)</f>
        <v/>
      </c>
      <c r="K66" s="17">
        <f>MAX(0,1-J66)</f>
        <v/>
      </c>
      <c r="L66" s="18" t="n">
        <v>8680.42</v>
      </c>
      <c r="M66" s="16" t="n">
        <v>101.64</v>
      </c>
      <c r="N66" s="15">
        <f>M66+E66*2</f>
        <v/>
      </c>
      <c r="O66" s="17">
        <f>MIN(1.25,J66+15%)</f>
        <v/>
      </c>
      <c r="P66" s="17">
        <f>J66</f>
        <v/>
      </c>
      <c r="Q66" s="17">
        <f>MIN(1.25,O66*P66/90%)</f>
        <v/>
      </c>
    </row>
    <row r="67">
      <c r="A67" s="13" t="n">
        <v>62</v>
      </c>
      <c r="B67" s="14" t="inlineStr">
        <is>
          <t>ABU BAKAR SIDDIQ TAJ MUHA</t>
        </is>
      </c>
      <c r="C67" s="14" t="inlineStr">
        <is>
          <t>PAINTER</t>
        </is>
      </c>
      <c r="D67" s="14" t="inlineStr">
        <is>
          <t>TN0254</t>
        </is>
      </c>
      <c r="E67" s="13" t="n">
        <v>4</v>
      </c>
      <c r="F67" s="15">
        <f>E67*8</f>
        <v/>
      </c>
      <c r="G67" s="16" t="n">
        <v>2</v>
      </c>
      <c r="H67" s="15">
        <f>F67+G67</f>
        <v/>
      </c>
      <c r="I67" s="16" t="n">
        <v>16.07</v>
      </c>
      <c r="J67" s="17">
        <f>IFERROR(I67/H67,0)</f>
        <v/>
      </c>
      <c r="K67" s="17">
        <f>MAX(0,1-J67)</f>
        <v/>
      </c>
      <c r="L67" s="18" t="n">
        <v>1339.97</v>
      </c>
      <c r="M67" s="16" t="n">
        <v>16.07</v>
      </c>
      <c r="N67" s="15">
        <f>M67+E67*2</f>
        <v/>
      </c>
      <c r="O67" s="17">
        <f>MIN(1.25,J67+15%)</f>
        <v/>
      </c>
      <c r="P67" s="17">
        <f>J67</f>
        <v/>
      </c>
      <c r="Q67" s="17">
        <f>MIN(1.25,O67*P67/90%)</f>
        <v/>
      </c>
    </row>
    <row r="68">
      <c r="A68" s="13" t="n">
        <v>63</v>
      </c>
      <c r="B68" s="14" t="inlineStr">
        <is>
          <t>SAMUEL OFORI</t>
        </is>
      </c>
      <c r="C68" s="14" t="inlineStr">
        <is>
          <t>MECHANIC</t>
        </is>
      </c>
      <c r="D68" s="14" t="inlineStr">
        <is>
          <t>TN0256</t>
        </is>
      </c>
      <c r="E68" s="13" t="n">
        <v>24</v>
      </c>
      <c r="F68" s="15">
        <f>E68*8</f>
        <v/>
      </c>
      <c r="G68" s="16" t="n">
        <v>1</v>
      </c>
      <c r="H68" s="15">
        <f>F68+G68</f>
        <v/>
      </c>
      <c r="I68" s="16" t="n">
        <v>139.78</v>
      </c>
      <c r="J68" s="17">
        <f>IFERROR(I68/H68,0)</f>
        <v/>
      </c>
      <c r="K68" s="17">
        <f>MAX(0,1-J68)</f>
        <v/>
      </c>
      <c r="L68" s="18" t="n">
        <v>11657.17</v>
      </c>
      <c r="M68" s="16" t="n">
        <v>139.78</v>
      </c>
      <c r="N68" s="15">
        <f>M68+E68*2</f>
        <v/>
      </c>
      <c r="O68" s="17">
        <f>MIN(1.25,J68+15%)</f>
        <v/>
      </c>
      <c r="P68" s="17">
        <f>J68</f>
        <v/>
      </c>
      <c r="Q68" s="17">
        <f>MIN(1.25,O68*P68/90%)</f>
        <v/>
      </c>
    </row>
    <row r="69">
      <c r="A69" s="13" t="n">
        <v>64</v>
      </c>
      <c r="B69" s="14" t="inlineStr">
        <is>
          <t>SHAJADA ALI SHAIKH</t>
        </is>
      </c>
      <c r="C69" s="14" t="inlineStr">
        <is>
          <t>MECHANIC</t>
        </is>
      </c>
      <c r="D69" s="14" t="inlineStr">
        <is>
          <t>TN0257</t>
        </is>
      </c>
      <c r="E69" s="13" t="n">
        <v>25</v>
      </c>
      <c r="F69" s="15">
        <f>E69*8</f>
        <v/>
      </c>
      <c r="G69" s="16" t="n">
        <v>4</v>
      </c>
      <c r="H69" s="15">
        <f>F69+G69</f>
        <v/>
      </c>
      <c r="I69" s="16" t="n">
        <v>186.54</v>
      </c>
      <c r="J69" s="17">
        <f>IFERROR(I69/H69,0)</f>
        <v/>
      </c>
      <c r="K69" s="17">
        <f>MAX(0,1-J69)</f>
        <v/>
      </c>
      <c r="L69" s="18" t="n">
        <v>16126.44</v>
      </c>
      <c r="M69" s="16" t="n">
        <v>186.54</v>
      </c>
      <c r="N69" s="15">
        <f>M69+E69*2</f>
        <v/>
      </c>
      <c r="O69" s="17">
        <f>MIN(1.25,J69+15%)</f>
        <v/>
      </c>
      <c r="P69" s="17">
        <f>J69</f>
        <v/>
      </c>
      <c r="Q69" s="17">
        <f>MIN(1.25,O69*P69/90%)</f>
        <v/>
      </c>
    </row>
    <row r="70">
      <c r="A70" s="13" t="n">
        <v>65</v>
      </c>
      <c r="B70" s="14" t="inlineStr">
        <is>
          <t>ABDULLAH NABEEL BUTT MAN</t>
        </is>
      </c>
      <c r="C70" s="14" t="inlineStr">
        <is>
          <t>ELECTRICIAN</t>
        </is>
      </c>
      <c r="D70" s="14" t="inlineStr">
        <is>
          <t>TN0258</t>
        </is>
      </c>
      <c r="E70" s="13" t="n">
        <v>25</v>
      </c>
      <c r="F70" s="15">
        <f>E70*8</f>
        <v/>
      </c>
      <c r="G70" s="16" t="n">
        <v>0</v>
      </c>
      <c r="H70" s="15">
        <f>F70+G70</f>
        <v/>
      </c>
      <c r="I70" s="16" t="n">
        <v>98.72</v>
      </c>
      <c r="J70" s="17">
        <f>IFERROR(I70/H70,0)</f>
        <v/>
      </c>
      <c r="K70" s="17">
        <f>MAX(0,1-J70)</f>
        <v/>
      </c>
      <c r="L70" s="18" t="n">
        <v>8508.49</v>
      </c>
      <c r="M70" s="16" t="n">
        <v>98.72</v>
      </c>
      <c r="N70" s="15">
        <f>M70+E70*2</f>
        <v/>
      </c>
      <c r="O70" s="17">
        <f>MIN(1.25,J70+15%)</f>
        <v/>
      </c>
      <c r="P70" s="17">
        <f>J70</f>
        <v/>
      </c>
      <c r="Q70" s="17">
        <f>MIN(1.25,O70*P70/90%)</f>
        <v/>
      </c>
    </row>
    <row r="71">
      <c r="A71" s="13" t="n">
        <v>66</v>
      </c>
      <c r="B71" s="14" t="inlineStr">
        <is>
          <t>MOHAMMED AWAIS ASGHAR</t>
        </is>
      </c>
      <c r="C71" s="14" t="inlineStr">
        <is>
          <t>ELECTRICIAN</t>
        </is>
      </c>
      <c r="D71" s="14" t="inlineStr">
        <is>
          <t>TN0259</t>
        </is>
      </c>
      <c r="E71" s="13" t="n">
        <v>24</v>
      </c>
      <c r="F71" s="15">
        <f>E71*8</f>
        <v/>
      </c>
      <c r="G71" s="16" t="n">
        <v>2</v>
      </c>
      <c r="H71" s="15">
        <f>F71+G71</f>
        <v/>
      </c>
      <c r="I71" s="16" t="n">
        <v>147.57</v>
      </c>
      <c r="J71" s="17">
        <f>IFERROR(I71/H71,0)</f>
        <v/>
      </c>
      <c r="K71" s="17">
        <f>MAX(0,1-J71)</f>
        <v/>
      </c>
      <c r="L71" s="18" t="n">
        <v>12299.75</v>
      </c>
      <c r="M71" s="16" t="n">
        <v>147.57</v>
      </c>
      <c r="N71" s="15">
        <f>M71+E71*2</f>
        <v/>
      </c>
      <c r="O71" s="17">
        <f>MIN(1.25,J71+15%)</f>
        <v/>
      </c>
      <c r="P71" s="17">
        <f>J71</f>
        <v/>
      </c>
      <c r="Q71" s="17">
        <f>MIN(1.25,O71*P71/90%)</f>
        <v/>
      </c>
    </row>
    <row r="72">
      <c r="A72" s="13" t="n">
        <v>67</v>
      </c>
      <c r="B72" s="14" t="inlineStr">
        <is>
          <t>ANIS ALI MIR MIR IBRAB ALI</t>
        </is>
      </c>
      <c r="C72" s="14" t="inlineStr">
        <is>
          <t>MECHANIC</t>
        </is>
      </c>
      <c r="D72" s="14" t="inlineStr">
        <is>
          <t>TN0261</t>
        </is>
      </c>
      <c r="E72" s="13" t="n">
        <v>25</v>
      </c>
      <c r="F72" s="15">
        <f>E72*8</f>
        <v/>
      </c>
      <c r="G72" s="16" t="n">
        <v>0</v>
      </c>
      <c r="H72" s="15">
        <f>F72+G72</f>
        <v/>
      </c>
      <c r="I72" s="16" t="n">
        <v>134.09</v>
      </c>
      <c r="J72" s="17">
        <f>IFERROR(I72/H72,0)</f>
        <v/>
      </c>
      <c r="K72" s="17">
        <f>MAX(0,1-J72)</f>
        <v/>
      </c>
      <c r="L72" s="18" t="n">
        <v>11519.93</v>
      </c>
      <c r="M72" s="16" t="n">
        <v>134.09</v>
      </c>
      <c r="N72" s="15">
        <f>M72+E72*2</f>
        <v/>
      </c>
      <c r="O72" s="17">
        <f>MIN(1.25,J72+15%)</f>
        <v/>
      </c>
      <c r="P72" s="17">
        <f>J72</f>
        <v/>
      </c>
      <c r="Q72" s="17">
        <f>MIN(1.25,O72*P72/90%)</f>
        <v/>
      </c>
    </row>
    <row r="73">
      <c r="A73" s="13" t="n">
        <v>68</v>
      </c>
      <c r="B73" s="14" t="inlineStr">
        <is>
          <t>SABIR ALI MUHAMMAD ALI</t>
        </is>
      </c>
      <c r="C73" s="14" t="inlineStr">
        <is>
          <t>PAINTER</t>
        </is>
      </c>
      <c r="D73" s="14" t="inlineStr">
        <is>
          <t>TN0265</t>
        </is>
      </c>
      <c r="E73" s="13" t="n">
        <v>23</v>
      </c>
      <c r="F73" s="15">
        <f>E73*8</f>
        <v/>
      </c>
      <c r="G73" s="16" t="n">
        <v>0</v>
      </c>
      <c r="H73" s="15">
        <f>F73+G73</f>
        <v/>
      </c>
      <c r="I73" s="16" t="n">
        <v>130.21</v>
      </c>
      <c r="J73" s="17">
        <f>IFERROR(I73/H73,0)</f>
        <v/>
      </c>
      <c r="K73" s="17">
        <f>MAX(0,1-J73)</f>
        <v/>
      </c>
      <c r="L73" s="18" t="n">
        <v>10891.43</v>
      </c>
      <c r="M73" s="16" t="n">
        <v>130.21</v>
      </c>
      <c r="N73" s="15">
        <f>M73+E73*2</f>
        <v/>
      </c>
      <c r="O73" s="17">
        <f>MIN(1.25,J73+15%)</f>
        <v/>
      </c>
      <c r="P73" s="17">
        <f>J73</f>
        <v/>
      </c>
      <c r="Q73" s="17">
        <f>MIN(1.25,O73*P73/90%)</f>
        <v/>
      </c>
    </row>
    <row r="74">
      <c r="A74" s="13" t="n">
        <v>69</v>
      </c>
      <c r="B74" s="14" t="inlineStr">
        <is>
          <t>ARISTOTE TSOPKENG LEWEPO</t>
        </is>
      </c>
      <c r="C74" s="14" t="inlineStr">
        <is>
          <t>MECHANIC</t>
        </is>
      </c>
      <c r="D74" s="14" t="inlineStr">
        <is>
          <t>TN0266</t>
        </is>
      </c>
      <c r="E74" s="13" t="n">
        <v>23</v>
      </c>
      <c r="F74" s="15">
        <f>E74*8</f>
        <v/>
      </c>
      <c r="G74" s="16" t="n">
        <v>0</v>
      </c>
      <c r="H74" s="15">
        <f>F74+G74</f>
        <v/>
      </c>
      <c r="I74" s="16" t="n">
        <v>126.69</v>
      </c>
      <c r="J74" s="17">
        <f>IFERROR(I74/H74,0)</f>
        <v/>
      </c>
      <c r="K74" s="17">
        <f>MAX(0,1-J74)</f>
        <v/>
      </c>
      <c r="L74" s="18" t="n">
        <v>10895.41</v>
      </c>
      <c r="M74" s="16" t="n">
        <v>126.69</v>
      </c>
      <c r="N74" s="15">
        <f>M74+E74*2</f>
        <v/>
      </c>
      <c r="O74" s="17">
        <f>MIN(1.25,J74+15%)</f>
        <v/>
      </c>
      <c r="P74" s="17">
        <f>J74</f>
        <v/>
      </c>
      <c r="Q74" s="17">
        <f>MIN(1.25,O74*P74/90%)</f>
        <v/>
      </c>
    </row>
    <row r="75">
      <c r="A75" s="13" t="n">
        <v>70</v>
      </c>
      <c r="B75" s="14" t="inlineStr">
        <is>
          <t>ALAM ZEB KHAN</t>
        </is>
      </c>
      <c r="C75" s="14" t="inlineStr">
        <is>
          <t>MECHANIC</t>
        </is>
      </c>
      <c r="D75" s="14" t="inlineStr">
        <is>
          <t>TN0268</t>
        </is>
      </c>
      <c r="E75" s="13" t="n">
        <v>23</v>
      </c>
      <c r="F75" s="15">
        <f>E75*8</f>
        <v/>
      </c>
      <c r="G75" s="16" t="n">
        <v>4</v>
      </c>
      <c r="H75" s="15">
        <f>F75+G75</f>
        <v/>
      </c>
      <c r="I75" s="16" t="n">
        <v>91.76000000000001</v>
      </c>
      <c r="J75" s="17">
        <f>IFERROR(I75/H75,0)</f>
        <v/>
      </c>
      <c r="K75" s="17">
        <f>MAX(0,1-J75)</f>
        <v/>
      </c>
      <c r="L75" s="18" t="n">
        <v>7634.62</v>
      </c>
      <c r="M75" s="16" t="n">
        <v>91.76000000000001</v>
      </c>
      <c r="N75" s="15">
        <f>M75+E75*2</f>
        <v/>
      </c>
      <c r="O75" s="17">
        <f>MIN(1.25,J75+15%)</f>
        <v/>
      </c>
      <c r="P75" s="17">
        <f>J75</f>
        <v/>
      </c>
      <c r="Q75" s="17">
        <f>MIN(1.25,O75*P75/90%)</f>
        <v/>
      </c>
    </row>
    <row r="76">
      <c r="A76" s="13" t="n">
        <v>71</v>
      </c>
      <c r="B76" s="14" t="inlineStr">
        <is>
          <t>Abdulla shekh</t>
        </is>
      </c>
      <c r="C76" s="14" t="inlineStr">
        <is>
          <t>PAINTER</t>
        </is>
      </c>
      <c r="D76" s="14" t="inlineStr">
        <is>
          <t>TN0269</t>
        </is>
      </c>
      <c r="E76" s="13" t="n">
        <v>25</v>
      </c>
      <c r="F76" s="15">
        <f>E76*8</f>
        <v/>
      </c>
      <c r="G76" s="16" t="n">
        <v>0</v>
      </c>
      <c r="H76" s="15">
        <f>F76+G76</f>
        <v/>
      </c>
      <c r="I76" s="16" t="n">
        <v>172.89</v>
      </c>
      <c r="J76" s="17">
        <f>IFERROR(I76/H76,0)</f>
        <v/>
      </c>
      <c r="K76" s="17">
        <f>MAX(0,1-J76)</f>
        <v/>
      </c>
      <c r="L76" s="18" t="n">
        <v>14394.43</v>
      </c>
      <c r="M76" s="16" t="n">
        <v>172.89</v>
      </c>
      <c r="N76" s="15">
        <f>M76+E76*2</f>
        <v/>
      </c>
      <c r="O76" s="17">
        <f>MIN(1.25,J76+15%)</f>
        <v/>
      </c>
      <c r="P76" s="17">
        <f>J76</f>
        <v/>
      </c>
      <c r="Q76" s="17">
        <f>MIN(1.25,O76*P76/90%)</f>
        <v/>
      </c>
    </row>
    <row r="77">
      <c r="A77" s="13" t="n">
        <v>72</v>
      </c>
      <c r="B77" s="14" t="inlineStr">
        <is>
          <t>Abdel Rahman</t>
        </is>
      </c>
      <c r="C77" s="14" t="inlineStr">
        <is>
          <t>PAINTER</t>
        </is>
      </c>
      <c r="D77" s="14" t="inlineStr">
        <is>
          <t>TN0270</t>
        </is>
      </c>
      <c r="E77" s="13" t="n">
        <v>25</v>
      </c>
      <c r="F77" s="15">
        <f>E77*8</f>
        <v/>
      </c>
      <c r="G77" s="16" t="n">
        <v>1</v>
      </c>
      <c r="H77" s="15">
        <f>F77+G77</f>
        <v/>
      </c>
      <c r="I77" s="16" t="n">
        <v>150.02</v>
      </c>
      <c r="J77" s="17">
        <f>IFERROR(I77/H77,0)</f>
        <v/>
      </c>
      <c r="K77" s="17">
        <f>MAX(0,1-J77)</f>
        <v/>
      </c>
      <c r="L77" s="18" t="n">
        <v>12989.42</v>
      </c>
      <c r="M77" s="16" t="n">
        <v>150.02</v>
      </c>
      <c r="N77" s="15">
        <f>M77+E77*2</f>
        <v/>
      </c>
      <c r="O77" s="17">
        <f>MIN(1.25,J77+15%)</f>
        <v/>
      </c>
      <c r="P77" s="17">
        <f>J77</f>
        <v/>
      </c>
      <c r="Q77" s="17">
        <f>MIN(1.25,O77*P77/90%)</f>
        <v/>
      </c>
    </row>
    <row r="78">
      <c r="A78" s="13" t="n">
        <v>73</v>
      </c>
      <c r="B78" s="14" t="inlineStr">
        <is>
          <t>RENJITH RADHAKRISHNAN NA</t>
        </is>
      </c>
      <c r="C78" s="14" t="inlineStr">
        <is>
          <t>PAINTER</t>
        </is>
      </c>
      <c r="D78" s="14" t="inlineStr">
        <is>
          <t>TN0272</t>
        </is>
      </c>
      <c r="E78" s="13" t="n">
        <v>11</v>
      </c>
      <c r="F78" s="15">
        <f>E78*8</f>
        <v/>
      </c>
      <c r="G78" s="16" t="n">
        <v>0</v>
      </c>
      <c r="H78" s="15">
        <f>F78+G78</f>
        <v/>
      </c>
      <c r="I78" s="16" t="n">
        <v>62.29</v>
      </c>
      <c r="J78" s="17">
        <f>IFERROR(I78/H78,0)</f>
        <v/>
      </c>
      <c r="K78" s="17">
        <f>MAX(0,1-J78)</f>
        <v/>
      </c>
      <c r="L78" s="18" t="n">
        <v>5370.88</v>
      </c>
      <c r="M78" s="16" t="n">
        <v>62.29</v>
      </c>
      <c r="N78" s="15">
        <f>M78+E78*2</f>
        <v/>
      </c>
      <c r="O78" s="17">
        <f>MIN(1.25,J78+15%)</f>
        <v/>
      </c>
      <c r="P78" s="17">
        <f>J78</f>
        <v/>
      </c>
      <c r="Q78" s="17">
        <f>MIN(1.25,O78*P78/90%)</f>
        <v/>
      </c>
    </row>
    <row r="79">
      <c r="A79" s="13" t="n">
        <v>74</v>
      </c>
      <c r="B79" s="14" t="inlineStr">
        <is>
          <t>RENJITH RADHAKRISHNAN NA</t>
        </is>
      </c>
      <c r="C79" s="14" t="inlineStr">
        <is>
          <t>PAINTER</t>
        </is>
      </c>
      <c r="D79" s="14" t="inlineStr">
        <is>
          <t>TN0272</t>
        </is>
      </c>
      <c r="E79" s="13" t="n">
        <v>10</v>
      </c>
      <c r="F79" s="15">
        <f>E79*8</f>
        <v/>
      </c>
      <c r="G79" s="16" t="n">
        <v>0</v>
      </c>
      <c r="H79" s="15">
        <f>F79+G79</f>
        <v/>
      </c>
      <c r="I79" s="16" t="n">
        <v>58.4</v>
      </c>
      <c r="J79" s="17">
        <f>IFERROR(I79/H79,0)</f>
        <v/>
      </c>
      <c r="K79" s="17">
        <f>MAX(0,1-J79)</f>
        <v/>
      </c>
      <c r="L79" s="18" t="n">
        <v>4919.19</v>
      </c>
      <c r="M79" s="16" t="n">
        <v>58.4</v>
      </c>
      <c r="N79" s="15">
        <f>M79+E79*2</f>
        <v/>
      </c>
      <c r="O79" s="17">
        <f>MIN(1.25,J79+15%)</f>
        <v/>
      </c>
      <c r="P79" s="17">
        <f>J79</f>
        <v/>
      </c>
      <c r="Q79" s="17">
        <f>MIN(1.25,O79*P79/90%)</f>
        <v/>
      </c>
    </row>
    <row r="80">
      <c r="A80" s="13" t="n">
        <v>75</v>
      </c>
      <c r="B80" s="14" t="inlineStr">
        <is>
          <t>AHID SHAIKH SHAIKH</t>
        </is>
      </c>
      <c r="C80" s="14" t="inlineStr">
        <is>
          <t>PAINTER</t>
        </is>
      </c>
      <c r="D80" s="14" t="inlineStr">
        <is>
          <t>TN0273</t>
        </is>
      </c>
      <c r="E80" s="13" t="n">
        <v>20</v>
      </c>
      <c r="F80" s="15">
        <f>E80*8</f>
        <v/>
      </c>
      <c r="G80" s="16" t="n">
        <v>0</v>
      </c>
      <c r="H80" s="15">
        <f>F80+G80</f>
        <v/>
      </c>
      <c r="I80" s="16" t="n">
        <v>108.5</v>
      </c>
      <c r="J80" s="17">
        <f>IFERROR(I80/H80,0)</f>
        <v/>
      </c>
      <c r="K80" s="17">
        <f>MAX(0,1-J80)</f>
        <v/>
      </c>
      <c r="L80" s="18" t="n">
        <v>9304.190000000001</v>
      </c>
      <c r="M80" s="16" t="n">
        <v>108.5</v>
      </c>
      <c r="N80" s="15">
        <f>M80+E80*2</f>
        <v/>
      </c>
      <c r="O80" s="17">
        <f>MIN(1.25,J80+15%)</f>
        <v/>
      </c>
      <c r="P80" s="17">
        <f>J80</f>
        <v/>
      </c>
      <c r="Q80" s="17">
        <f>MIN(1.25,O80*P80/90%)</f>
        <v/>
      </c>
    </row>
    <row r="81">
      <c r="A81" s="13" t="n">
        <v>76</v>
      </c>
      <c r="B81" s="14" t="inlineStr">
        <is>
          <t>IBRAHIM KHAN</t>
        </is>
      </c>
      <c r="C81" s="14" t="inlineStr">
        <is>
          <t>DENTER</t>
        </is>
      </c>
      <c r="D81" s="14" t="inlineStr">
        <is>
          <t>TN0274</t>
        </is>
      </c>
      <c r="E81" s="13" t="n">
        <v>21</v>
      </c>
      <c r="F81" s="15">
        <f>E81*8</f>
        <v/>
      </c>
      <c r="G81" s="16" t="n">
        <v>1</v>
      </c>
      <c r="H81" s="15">
        <f>F81+G81</f>
        <v/>
      </c>
      <c r="I81" s="16" t="n">
        <v>115.53</v>
      </c>
      <c r="J81" s="17">
        <f>IFERROR(I81/H81,0)</f>
        <v/>
      </c>
      <c r="K81" s="17">
        <f>MAX(0,1-J81)</f>
        <v/>
      </c>
      <c r="L81" s="18" t="n">
        <v>9724.200000000001</v>
      </c>
      <c r="M81" s="16" t="n">
        <v>115.53</v>
      </c>
      <c r="N81" s="15">
        <f>M81+E81*2</f>
        <v/>
      </c>
      <c r="O81" s="17">
        <f>MIN(1.25,J81+15%)</f>
        <v/>
      </c>
      <c r="P81" s="17">
        <f>J81</f>
        <v/>
      </c>
      <c r="Q81" s="17">
        <f>MIN(1.25,O81*P81/90%)</f>
        <v/>
      </c>
    </row>
    <row r="82">
      <c r="A82" s="13" t="n">
        <v>77</v>
      </c>
      <c r="B82" s="14" t="inlineStr">
        <is>
          <t>MUHAMMED SUFIAN QURESHI</t>
        </is>
      </c>
      <c r="C82" s="14" t="inlineStr">
        <is>
          <t>DENTER</t>
        </is>
      </c>
      <c r="D82" s="14" t="inlineStr">
        <is>
          <t>TN0275</t>
        </is>
      </c>
      <c r="E82" s="13" t="n">
        <v>24</v>
      </c>
      <c r="F82" s="15">
        <f>E82*8</f>
        <v/>
      </c>
      <c r="G82" s="16" t="n">
        <v>2</v>
      </c>
      <c r="H82" s="15">
        <f>F82+G82</f>
        <v/>
      </c>
      <c r="I82" s="16" t="n">
        <v>138.44</v>
      </c>
      <c r="J82" s="17">
        <f>IFERROR(I82/H82,0)</f>
        <v/>
      </c>
      <c r="K82" s="17">
        <f>MAX(0,1-J82)</f>
        <v/>
      </c>
      <c r="L82" s="18" t="n">
        <v>12023.38</v>
      </c>
      <c r="M82" s="16" t="n">
        <v>138.44</v>
      </c>
      <c r="N82" s="15">
        <f>M82+E82*2</f>
        <v/>
      </c>
      <c r="O82" s="17">
        <f>MIN(1.25,J82+15%)</f>
        <v/>
      </c>
      <c r="P82" s="17">
        <f>J82</f>
        <v/>
      </c>
      <c r="Q82" s="17">
        <f>MIN(1.25,O82*P82/90%)</f>
        <v/>
      </c>
    </row>
    <row r="83">
      <c r="A83" s="13" t="n">
        <v>78</v>
      </c>
      <c r="B83" s="14" t="inlineStr">
        <is>
          <t>RAGHU</t>
        </is>
      </c>
      <c r="C83" s="14" t="inlineStr">
        <is>
          <t>ELECTRICIAN</t>
        </is>
      </c>
      <c r="D83" s="14" t="inlineStr">
        <is>
          <t>TN0276</t>
        </is>
      </c>
      <c r="E83" s="13" t="n">
        <v>22</v>
      </c>
      <c r="F83" s="15">
        <f>E83*8</f>
        <v/>
      </c>
      <c r="G83" s="16" t="n">
        <v>0</v>
      </c>
      <c r="H83" s="15">
        <f>F83+G83</f>
        <v/>
      </c>
      <c r="I83" s="16" t="n">
        <v>118.88</v>
      </c>
      <c r="J83" s="17">
        <f>IFERROR(I83/H83,0)</f>
        <v/>
      </c>
      <c r="K83" s="17">
        <f>MAX(0,1-J83)</f>
        <v/>
      </c>
      <c r="L83" s="18" t="n">
        <v>9971.41</v>
      </c>
      <c r="M83" s="16" t="n">
        <v>118.88</v>
      </c>
      <c r="N83" s="15">
        <f>M83+E83*2</f>
        <v/>
      </c>
      <c r="O83" s="17">
        <f>MIN(1.25,J83+15%)</f>
        <v/>
      </c>
      <c r="P83" s="17">
        <f>J83</f>
        <v/>
      </c>
      <c r="Q83" s="17">
        <f>MIN(1.25,O83*P83/90%)</f>
        <v/>
      </c>
    </row>
    <row r="84">
      <c r="A84" s="13" t="n">
        <v>79</v>
      </c>
      <c r="B84" s="14" t="inlineStr">
        <is>
          <t>MAHAFUJ ALI MOHAMMAD</t>
        </is>
      </c>
      <c r="C84" s="14" t="inlineStr">
        <is>
          <t>PAINTER</t>
        </is>
      </c>
      <c r="D84" s="14" t="inlineStr">
        <is>
          <t>TN0277</t>
        </is>
      </c>
      <c r="E84" s="13" t="n">
        <v>25</v>
      </c>
      <c r="F84" s="15">
        <f>E84*8</f>
        <v/>
      </c>
      <c r="G84" s="16" t="n">
        <v>0</v>
      </c>
      <c r="H84" s="15">
        <f>F84+G84</f>
        <v/>
      </c>
      <c r="I84" s="16" t="n">
        <v>139.73</v>
      </c>
      <c r="J84" s="17">
        <f>IFERROR(I84/H84,0)</f>
        <v/>
      </c>
      <c r="K84" s="17">
        <f>MAX(0,1-J84)</f>
        <v/>
      </c>
      <c r="L84" s="18" t="n">
        <v>11869.44</v>
      </c>
      <c r="M84" s="16" t="n">
        <v>139.73</v>
      </c>
      <c r="N84" s="15">
        <f>M84+E84*2</f>
        <v/>
      </c>
      <c r="O84" s="17">
        <f>MIN(1.25,J84+15%)</f>
        <v/>
      </c>
      <c r="P84" s="17">
        <f>J84</f>
        <v/>
      </c>
      <c r="Q84" s="17">
        <f>MIN(1.25,O84*P84/90%)</f>
        <v/>
      </c>
    </row>
    <row r="85">
      <c r="A85" s="13" t="n">
        <v>80</v>
      </c>
      <c r="B85" s="14" t="inlineStr">
        <is>
          <t>SK MAKSOOD</t>
        </is>
      </c>
      <c r="C85" s="14" t="inlineStr">
        <is>
          <t>PAINTER</t>
        </is>
      </c>
      <c r="D85" s="14" t="inlineStr">
        <is>
          <t>TN0280</t>
        </is>
      </c>
      <c r="E85" s="13" t="n">
        <v>22</v>
      </c>
      <c r="F85" s="15">
        <f>E85*8</f>
        <v/>
      </c>
      <c r="G85" s="16" t="n">
        <v>4</v>
      </c>
      <c r="H85" s="15">
        <f>F85+G85</f>
        <v/>
      </c>
      <c r="I85" s="16" t="n">
        <v>138.99</v>
      </c>
      <c r="J85" s="17">
        <f>IFERROR(I85/H85,0)</f>
        <v/>
      </c>
      <c r="K85" s="17">
        <f>MAX(0,1-J85)</f>
        <v/>
      </c>
      <c r="L85" s="18" t="n">
        <v>11984.23</v>
      </c>
      <c r="M85" s="16" t="n">
        <v>138.99</v>
      </c>
      <c r="N85" s="15">
        <f>M85+E85*2</f>
        <v/>
      </c>
      <c r="O85" s="17">
        <f>MIN(1.25,J85+15%)</f>
        <v/>
      </c>
      <c r="P85" s="17">
        <f>J85</f>
        <v/>
      </c>
      <c r="Q85" s="17">
        <f>MIN(1.25,O85*P85/90%)</f>
        <v/>
      </c>
    </row>
    <row r="86">
      <c r="A86" s="13" t="n">
        <v>81</v>
      </c>
      <c r="B86" s="14" t="inlineStr">
        <is>
          <t>umar sadiq abdur rahman</t>
        </is>
      </c>
      <c r="C86" s="14" t="inlineStr">
        <is>
          <t>DENTER</t>
        </is>
      </c>
      <c r="D86" s="14" t="inlineStr">
        <is>
          <t>TN0281</t>
        </is>
      </c>
      <c r="E86" s="13" t="n">
        <v>25</v>
      </c>
      <c r="F86" s="15">
        <f>E86*8</f>
        <v/>
      </c>
      <c r="G86" s="16" t="n">
        <v>0</v>
      </c>
      <c r="H86" s="15">
        <f>F86+G86</f>
        <v/>
      </c>
      <c r="I86" s="16" t="n">
        <v>180.4</v>
      </c>
      <c r="J86" s="17">
        <f>IFERROR(I86/H86,0)</f>
        <v/>
      </c>
      <c r="K86" s="17">
        <f>MAX(0,1-J86)</f>
        <v/>
      </c>
      <c r="L86" s="18" t="n">
        <v>14957.84</v>
      </c>
      <c r="M86" s="16" t="n">
        <v>180.4</v>
      </c>
      <c r="N86" s="15">
        <f>M86+E86*2</f>
        <v/>
      </c>
      <c r="O86" s="17">
        <f>MIN(1.25,J86+15%)</f>
        <v/>
      </c>
      <c r="P86" s="17">
        <f>J86</f>
        <v/>
      </c>
      <c r="Q86" s="17">
        <f>MIN(1.25,O86*P86/90%)</f>
        <v/>
      </c>
    </row>
    <row r="87">
      <c r="A87" s="13" t="n">
        <v>82</v>
      </c>
      <c r="B87" s="14" t="inlineStr">
        <is>
          <t>DHANESH E. DEVADAS</t>
        </is>
      </c>
      <c r="C87" s="14" t="inlineStr">
        <is>
          <t>MECHANIC</t>
        </is>
      </c>
      <c r="D87" s="14" t="inlineStr">
        <is>
          <t>TN0283</t>
        </is>
      </c>
      <c r="E87" s="13" t="n">
        <v>22</v>
      </c>
      <c r="F87" s="15">
        <f>E87*8</f>
        <v/>
      </c>
      <c r="G87" s="16" t="n">
        <v>2</v>
      </c>
      <c r="H87" s="15">
        <f>F87+G87</f>
        <v/>
      </c>
      <c r="I87" s="16" t="n">
        <v>59.17</v>
      </c>
      <c r="J87" s="17">
        <f>IFERROR(I87/H87,0)</f>
        <v/>
      </c>
      <c r="K87" s="17">
        <f>MAX(0,1-J87)</f>
        <v/>
      </c>
      <c r="L87" s="18" t="n">
        <v>4966.17</v>
      </c>
      <c r="M87" s="16" t="n">
        <v>59.17</v>
      </c>
      <c r="N87" s="15">
        <f>M87+E87*2</f>
        <v/>
      </c>
      <c r="O87" s="17">
        <f>MIN(1.25,J87+15%)</f>
        <v/>
      </c>
      <c r="P87" s="17">
        <f>J87</f>
        <v/>
      </c>
      <c r="Q87" s="17">
        <f>MIN(1.25,O87*P87/90%)</f>
        <v/>
      </c>
    </row>
    <row r="88">
      <c r="A88" s="13" t="n">
        <v>83</v>
      </c>
      <c r="B88" s="14" t="inlineStr">
        <is>
          <t>Emmanuel Koranteng</t>
        </is>
      </c>
      <c r="C88" s="14" t="inlineStr">
        <is>
          <t>ELECTRICIAN</t>
        </is>
      </c>
      <c r="D88" s="14" t="inlineStr">
        <is>
          <t>TN0285</t>
        </is>
      </c>
      <c r="E88" s="13" t="n">
        <v>23</v>
      </c>
      <c r="F88" s="15">
        <f>E88*8</f>
        <v/>
      </c>
      <c r="G88" s="16" t="n">
        <v>0</v>
      </c>
      <c r="H88" s="15">
        <f>F88+G88</f>
        <v/>
      </c>
      <c r="I88" s="16" t="n">
        <v>120.3</v>
      </c>
      <c r="J88" s="17">
        <f>IFERROR(I88/H88,0)</f>
        <v/>
      </c>
      <c r="K88" s="17">
        <f>MAX(0,1-J88)</f>
        <v/>
      </c>
      <c r="L88" s="18" t="n">
        <v>10266.63</v>
      </c>
      <c r="M88" s="16" t="n">
        <v>120.3</v>
      </c>
      <c r="N88" s="15">
        <f>M88+E88*2</f>
        <v/>
      </c>
      <c r="O88" s="17">
        <f>MIN(1.25,J88+15%)</f>
        <v/>
      </c>
      <c r="P88" s="17">
        <f>J88</f>
        <v/>
      </c>
      <c r="Q88" s="17">
        <f>MIN(1.25,O88*P88/90%)</f>
        <v/>
      </c>
    </row>
    <row r="90">
      <c r="A90" s="19" t="n"/>
      <c r="B90" s="20" t="inlineStr">
        <is>
          <t>TOTAL / AVG</t>
        </is>
      </c>
      <c r="C90" s="19" t="n"/>
      <c r="D90" s="19" t="n"/>
      <c r="E90" s="21">
        <f>SUM(E6:E88)</f>
        <v/>
      </c>
      <c r="F90" s="21">
        <f>SUM(F6:F88)</f>
        <v/>
      </c>
      <c r="G90" s="21">
        <f>SUM(G6:G88)</f>
        <v/>
      </c>
      <c r="H90" s="21">
        <f>SUM(H6:H88)</f>
        <v/>
      </c>
      <c r="I90" s="21">
        <f>SUM(I6:I88)</f>
        <v/>
      </c>
      <c r="J90" s="22">
        <f>AVERAGE(J6:J88)</f>
        <v/>
      </c>
      <c r="K90" s="22">
        <f>AVERAGE(K6:K88)</f>
        <v/>
      </c>
      <c r="L90" s="23">
        <f>SUM(L6:L88)</f>
        <v/>
      </c>
      <c r="M90" s="21">
        <f>SUM(M6:M88)</f>
        <v/>
      </c>
      <c r="N90" s="21">
        <f>SUM(N6:N88)</f>
        <v/>
      </c>
      <c r="O90" s="22">
        <f>AVERAGE(O6:O88)</f>
        <v/>
      </c>
      <c r="P90" s="22">
        <f>AVERAGE(P6:P88)</f>
        <v/>
      </c>
      <c r="Q90" s="22">
        <f>AVERAGE(Q6:Q88)</f>
        <v/>
      </c>
    </row>
  </sheetData>
  <autoFilter ref="A5:Q88"/>
  <mergeCells count="3">
    <mergeCell ref="B2:Q2"/>
    <mergeCell ref="I1:M1"/>
    <mergeCell ref="A1:H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1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3" customWidth="1" min="14" max="14"/>
    <col width="9" customWidth="1" min="15" max="15"/>
    <col width="9" customWidth="1" min="16" max="16"/>
    <col width="9" customWidth="1" min="17" max="17"/>
  </cols>
  <sheetData>
    <row r="1">
      <c r="A1" s="9" t="inlineStr">
        <is>
          <t>Pioneer Car Service Center</t>
        </is>
      </c>
      <c r="I1" s="9" t="inlineStr">
        <is>
          <t>Technicians KPI's Report</t>
        </is>
      </c>
      <c r="N1" s="10" t="inlineStr">
        <is>
          <t>Period:</t>
        </is>
      </c>
      <c r="O1" s="10" t="inlineStr">
        <is>
          <t>Mar-2026</t>
        </is>
      </c>
    </row>
    <row r="2">
      <c r="A2" s="2" t="inlineStr">
        <is>
          <t>Data status:</t>
        </is>
      </c>
      <c r="B2" s="11" t="inlineStr">
        <is>
          <t>SIMULATED / ESTIMATED - realistic values based on Jul-2026 baseline</t>
        </is>
      </c>
    </row>
    <row r="5" ht="34" customHeight="1">
      <c r="A5" s="12" t="inlineStr">
        <is>
          <t>S.No</t>
        </is>
      </c>
      <c r="B5" s="12" t="inlineStr">
        <is>
          <t>Technician</t>
        </is>
      </c>
      <c r="C5" s="12" t="inlineStr">
        <is>
          <t>Designation</t>
        </is>
      </c>
      <c r="D5" s="12" t="inlineStr">
        <is>
          <t>Tech ID</t>
        </is>
      </c>
      <c r="E5" s="12" t="inlineStr">
        <is>
          <t>Days Present</t>
        </is>
      </c>
      <c r="F5" s="12" t="inlineStr">
        <is>
          <t>Avail. Hrs</t>
        </is>
      </c>
      <c r="G5" s="12" t="inlineStr">
        <is>
          <t>OT</t>
        </is>
      </c>
      <c r="H5" s="12" t="inlineStr">
        <is>
          <t>Total Hrs</t>
        </is>
      </c>
      <c r="I5" s="12" t="inlineStr">
        <is>
          <t>Worked Hrs</t>
        </is>
      </c>
      <c r="J5" s="12" t="inlineStr">
        <is>
          <t>Prod HRS (%)</t>
        </is>
      </c>
      <c r="K5" s="12" t="inlineStr">
        <is>
          <t>Idle HRS (%)</t>
        </is>
      </c>
      <c r="L5" s="12" t="inlineStr">
        <is>
          <t>Billed Value (AED)</t>
        </is>
      </c>
      <c r="M5" s="12" t="inlineStr">
        <is>
          <t>Billed HRS</t>
        </is>
      </c>
      <c r="N5" s="12" t="inlineStr">
        <is>
          <t>Billed Hours</t>
        </is>
      </c>
      <c r="O5" s="12" t="inlineStr">
        <is>
          <t>U%</t>
        </is>
      </c>
      <c r="P5" s="12" t="inlineStr">
        <is>
          <t>P%</t>
        </is>
      </c>
      <c r="Q5" s="12" t="inlineStr">
        <is>
          <t>E%</t>
        </is>
      </c>
    </row>
    <row r="6">
      <c r="A6" s="13" t="n">
        <v>1</v>
      </c>
      <c r="B6" s="14" t="inlineStr">
        <is>
          <t>GERVAS LEONARD</t>
        </is>
      </c>
      <c r="C6" s="14" t="inlineStr">
        <is>
          <t>DENTER</t>
        </is>
      </c>
      <c r="D6" s="14" t="inlineStr">
        <is>
          <t>TN0015</t>
        </is>
      </c>
      <c r="E6" s="13" t="n">
        <v>26</v>
      </c>
      <c r="F6" s="15">
        <f>E6*8</f>
        <v/>
      </c>
      <c r="G6" s="16" t="n">
        <v>4</v>
      </c>
      <c r="H6" s="15">
        <f>F6+G6</f>
        <v/>
      </c>
      <c r="I6" s="16" t="n">
        <v>173.99</v>
      </c>
      <c r="J6" s="17">
        <f>IFERROR(I6/H6,0)</f>
        <v/>
      </c>
      <c r="K6" s="17">
        <f>MAX(0,1-J6)</f>
        <v/>
      </c>
      <c r="L6" s="18" t="n">
        <v>14546.72</v>
      </c>
      <c r="M6" s="16" t="n">
        <v>173.99</v>
      </c>
      <c r="N6" s="15">
        <f>M6+E6*2</f>
        <v/>
      </c>
      <c r="O6" s="17">
        <f>MIN(1.25,J6+15%)</f>
        <v/>
      </c>
      <c r="P6" s="17">
        <f>J6</f>
        <v/>
      </c>
      <c r="Q6" s="17">
        <f>MIN(1.25,O6*P6/90%)</f>
        <v/>
      </c>
    </row>
    <row r="7">
      <c r="A7" s="13" t="n">
        <v>2</v>
      </c>
      <c r="B7" s="14" t="inlineStr">
        <is>
          <t>ATHUMANI HAMAD NGODA</t>
        </is>
      </c>
      <c r="C7" s="14" t="inlineStr">
        <is>
          <t>PAINTER</t>
        </is>
      </c>
      <c r="D7" s="14" t="inlineStr">
        <is>
          <t>TN0018</t>
        </is>
      </c>
      <c r="E7" s="13" t="n">
        <v>27</v>
      </c>
      <c r="F7" s="15">
        <f>E7*8</f>
        <v/>
      </c>
      <c r="G7" s="16" t="n">
        <v>0</v>
      </c>
      <c r="H7" s="15">
        <f>F7+G7</f>
        <v/>
      </c>
      <c r="I7" s="16" t="n">
        <v>186.7</v>
      </c>
      <c r="J7" s="17">
        <f>IFERROR(I7/H7,0)</f>
        <v/>
      </c>
      <c r="K7" s="17">
        <f>MAX(0,1-J7)</f>
        <v/>
      </c>
      <c r="L7" s="18" t="n">
        <v>15622.3</v>
      </c>
      <c r="M7" s="16" t="n">
        <v>186.7</v>
      </c>
      <c r="N7" s="15">
        <f>M7+E7*2</f>
        <v/>
      </c>
      <c r="O7" s="17">
        <f>MIN(1.25,J7+15%)</f>
        <v/>
      </c>
      <c r="P7" s="17">
        <f>J7</f>
        <v/>
      </c>
      <c r="Q7" s="17">
        <f>MIN(1.25,O7*P7/90%)</f>
        <v/>
      </c>
    </row>
    <row r="8">
      <c r="A8" s="13" t="n">
        <v>3</v>
      </c>
      <c r="B8" s="14" t="inlineStr">
        <is>
          <t>SAMIRULLAH Sheikh</t>
        </is>
      </c>
      <c r="C8" s="14" t="inlineStr">
        <is>
          <t>PAINTER</t>
        </is>
      </c>
      <c r="D8" s="14" t="inlineStr">
        <is>
          <t>TN0020</t>
        </is>
      </c>
      <c r="E8" s="13" t="n">
        <v>24</v>
      </c>
      <c r="F8" s="15">
        <f>E8*8</f>
        <v/>
      </c>
      <c r="G8" s="16" t="n">
        <v>0</v>
      </c>
      <c r="H8" s="15">
        <f>F8+G8</f>
        <v/>
      </c>
      <c r="I8" s="16" t="n">
        <v>161.63</v>
      </c>
      <c r="J8" s="17">
        <f>IFERROR(I8/H8,0)</f>
        <v/>
      </c>
      <c r="K8" s="17">
        <f>MAX(0,1-J8)</f>
        <v/>
      </c>
      <c r="L8" s="18" t="n">
        <v>13844.16</v>
      </c>
      <c r="M8" s="16" t="n">
        <v>161.63</v>
      </c>
      <c r="N8" s="15">
        <f>M8+E8*2</f>
        <v/>
      </c>
      <c r="O8" s="17">
        <f>MIN(1.25,J8+15%)</f>
        <v/>
      </c>
      <c r="P8" s="17">
        <f>J8</f>
        <v/>
      </c>
      <c r="Q8" s="17">
        <f>MIN(1.25,O8*P8/90%)</f>
        <v/>
      </c>
    </row>
    <row r="9">
      <c r="A9" s="13" t="n">
        <v>4</v>
      </c>
      <c r="B9" s="14" t="inlineStr">
        <is>
          <t>BRUNO STEPHANO MASASI</t>
        </is>
      </c>
      <c r="C9" s="14" t="inlineStr">
        <is>
          <t>MECHANIC</t>
        </is>
      </c>
      <c r="D9" s="14" t="inlineStr">
        <is>
          <t>TN0023</t>
        </is>
      </c>
      <c r="E9" s="13" t="n">
        <v>27</v>
      </c>
      <c r="F9" s="15">
        <f>E9*8</f>
        <v/>
      </c>
      <c r="G9" s="16" t="n">
        <v>0</v>
      </c>
      <c r="H9" s="15">
        <f>F9+G9</f>
        <v/>
      </c>
      <c r="I9" s="16" t="n">
        <v>195.93</v>
      </c>
      <c r="J9" s="17">
        <f>IFERROR(I9/H9,0)</f>
        <v/>
      </c>
      <c r="K9" s="17">
        <f>MAX(0,1-J9)</f>
        <v/>
      </c>
      <c r="L9" s="18" t="n">
        <v>16466.61</v>
      </c>
      <c r="M9" s="16" t="n">
        <v>195.93</v>
      </c>
      <c r="N9" s="15">
        <f>M9+E9*2</f>
        <v/>
      </c>
      <c r="O9" s="17">
        <f>MIN(1.25,J9+15%)</f>
        <v/>
      </c>
      <c r="P9" s="17">
        <f>J9</f>
        <v/>
      </c>
      <c r="Q9" s="17">
        <f>MIN(1.25,O9*P9/90%)</f>
        <v/>
      </c>
    </row>
    <row r="10">
      <c r="A10" s="13" t="n">
        <v>5</v>
      </c>
      <c r="B10" s="14" t="inlineStr">
        <is>
          <t>JUMANNE ABDUL</t>
        </is>
      </c>
      <c r="C10" s="14" t="inlineStr">
        <is>
          <t>PAINTER</t>
        </is>
      </c>
      <c r="D10" s="14" t="inlineStr">
        <is>
          <t>TN0025</t>
        </is>
      </c>
      <c r="E10" s="13" t="n">
        <v>27</v>
      </c>
      <c r="F10" s="15">
        <f>E10*8</f>
        <v/>
      </c>
      <c r="G10" s="16" t="n">
        <v>0</v>
      </c>
      <c r="H10" s="15">
        <f>F10+G10</f>
        <v/>
      </c>
      <c r="I10" s="16" t="n">
        <v>174.86</v>
      </c>
      <c r="J10" s="17">
        <f>IFERROR(I10/H10,0)</f>
        <v/>
      </c>
      <c r="K10" s="17">
        <f>MAX(0,1-J10)</f>
        <v/>
      </c>
      <c r="L10" s="18" t="n">
        <v>14955.54</v>
      </c>
      <c r="M10" s="16" t="n">
        <v>174.86</v>
      </c>
      <c r="N10" s="15">
        <f>M10+E10*2</f>
        <v/>
      </c>
      <c r="O10" s="17">
        <f>MIN(1.25,J10+15%)</f>
        <v/>
      </c>
      <c r="P10" s="17">
        <f>J10</f>
        <v/>
      </c>
      <c r="Q10" s="17">
        <f>MIN(1.25,O10*P10/90%)</f>
        <v/>
      </c>
    </row>
    <row r="11">
      <c r="A11" s="13" t="n">
        <v>6</v>
      </c>
      <c r="B11" s="14" t="inlineStr">
        <is>
          <t>Ally Bakali Kufikili</t>
        </is>
      </c>
      <c r="C11" s="14" t="inlineStr">
        <is>
          <t>PAINTER</t>
        </is>
      </c>
      <c r="D11" s="14" t="inlineStr">
        <is>
          <t>TN0027</t>
        </is>
      </c>
      <c r="E11" s="13" t="n">
        <v>1</v>
      </c>
      <c r="F11" s="15">
        <f>E11*8</f>
        <v/>
      </c>
      <c r="G11" s="16" t="n">
        <v>4</v>
      </c>
      <c r="H11" s="15">
        <f>F11+G11</f>
        <v/>
      </c>
      <c r="I11" s="16" t="n">
        <v>10.56</v>
      </c>
      <c r="J11" s="17">
        <f>IFERROR(I11/H11,0)</f>
        <v/>
      </c>
      <c r="K11" s="17">
        <f>MAX(0,1-J11)</f>
        <v/>
      </c>
      <c r="L11" s="18" t="n">
        <v>891.67</v>
      </c>
      <c r="M11" s="16" t="n">
        <v>10.56</v>
      </c>
      <c r="N11" s="15">
        <f>M11+E11*2</f>
        <v/>
      </c>
      <c r="O11" s="17">
        <f>MIN(1.25,J11+15%)</f>
        <v/>
      </c>
      <c r="P11" s="17">
        <f>J11</f>
        <v/>
      </c>
      <c r="Q11" s="17">
        <f>MIN(1.25,O11*P11/90%)</f>
        <v/>
      </c>
    </row>
    <row r="12">
      <c r="A12" s="13" t="n">
        <v>7</v>
      </c>
      <c r="B12" s="14" t="inlineStr">
        <is>
          <t>Daudi Khafani Mrisho</t>
        </is>
      </c>
      <c r="C12" s="14" t="inlineStr">
        <is>
          <t>PAINTER</t>
        </is>
      </c>
      <c r="D12" s="14" t="inlineStr">
        <is>
          <t>TN0028</t>
        </is>
      </c>
      <c r="E12" s="13" t="n">
        <v>27</v>
      </c>
      <c r="F12" s="15">
        <f>E12*8</f>
        <v/>
      </c>
      <c r="G12" s="16" t="n">
        <v>2</v>
      </c>
      <c r="H12" s="15">
        <f>F12+G12</f>
        <v/>
      </c>
      <c r="I12" s="16" t="n">
        <v>177.91</v>
      </c>
      <c r="J12" s="17">
        <f>IFERROR(I12/H12,0)</f>
        <v/>
      </c>
      <c r="K12" s="17">
        <f>MAX(0,1-J12)</f>
        <v/>
      </c>
      <c r="L12" s="18" t="n">
        <v>14873.48</v>
      </c>
      <c r="M12" s="16" t="n">
        <v>177.91</v>
      </c>
      <c r="N12" s="15">
        <f>M12+E12*2</f>
        <v/>
      </c>
      <c r="O12" s="17">
        <f>MIN(1.25,J12+15%)</f>
        <v/>
      </c>
      <c r="P12" s="17">
        <f>J12</f>
        <v/>
      </c>
      <c r="Q12" s="17">
        <f>MIN(1.25,O12*P12/90%)</f>
        <v/>
      </c>
    </row>
    <row r="13">
      <c r="A13" s="13" t="n">
        <v>8</v>
      </c>
      <c r="B13" s="14" t="inlineStr">
        <is>
          <t>Aboo Khan Babu Khan</t>
        </is>
      </c>
      <c r="C13" s="14" t="inlineStr">
        <is>
          <t>PAINTER</t>
        </is>
      </c>
      <c r="D13" s="14" t="inlineStr">
        <is>
          <t>TN0041</t>
        </is>
      </c>
      <c r="E13" s="13" t="n">
        <v>25</v>
      </c>
      <c r="F13" s="15">
        <f>E13*8</f>
        <v/>
      </c>
      <c r="G13" s="16" t="n">
        <v>4</v>
      </c>
      <c r="H13" s="15">
        <f>F13+G13</f>
        <v/>
      </c>
      <c r="I13" s="16" t="n">
        <v>165.05</v>
      </c>
      <c r="J13" s="17">
        <f>IFERROR(I13/H13,0)</f>
        <v/>
      </c>
      <c r="K13" s="17">
        <f>MAX(0,1-J13)</f>
        <v/>
      </c>
      <c r="L13" s="18" t="n">
        <v>13789.79</v>
      </c>
      <c r="M13" s="16" t="n">
        <v>165.05</v>
      </c>
      <c r="N13" s="15">
        <f>M13+E13*2</f>
        <v/>
      </c>
      <c r="O13" s="17">
        <f>MIN(1.25,J13+15%)</f>
        <v/>
      </c>
      <c r="P13" s="17">
        <f>J13</f>
        <v/>
      </c>
      <c r="Q13" s="17">
        <f>MIN(1.25,O13*P13/90%)</f>
        <v/>
      </c>
    </row>
    <row r="14">
      <c r="A14" s="13" t="n">
        <v>9</v>
      </c>
      <c r="B14" s="14" t="inlineStr">
        <is>
          <t>AFZAL ALI</t>
        </is>
      </c>
      <c r="C14" s="14" t="inlineStr">
        <is>
          <t>DENTER</t>
        </is>
      </c>
      <c r="D14" s="14" t="inlineStr">
        <is>
          <t>TN0046</t>
        </is>
      </c>
      <c r="E14" s="13" t="n">
        <v>27</v>
      </c>
      <c r="F14" s="15">
        <f>E14*8</f>
        <v/>
      </c>
      <c r="G14" s="16" t="n">
        <v>0</v>
      </c>
      <c r="H14" s="15">
        <f>F14+G14</f>
        <v/>
      </c>
      <c r="I14" s="16" t="n">
        <v>168.28</v>
      </c>
      <c r="J14" s="17">
        <f>IFERROR(I14/H14,0)</f>
        <v/>
      </c>
      <c r="K14" s="17">
        <f>MAX(0,1-J14)</f>
        <v/>
      </c>
      <c r="L14" s="18" t="n">
        <v>14494.84</v>
      </c>
      <c r="M14" s="16" t="n">
        <v>168.28</v>
      </c>
      <c r="N14" s="15">
        <f>M14+E14*2</f>
        <v/>
      </c>
      <c r="O14" s="17">
        <f>MIN(1.25,J14+15%)</f>
        <v/>
      </c>
      <c r="P14" s="17">
        <f>J14</f>
        <v/>
      </c>
      <c r="Q14" s="17">
        <f>MIN(1.25,O14*P14/90%)</f>
        <v/>
      </c>
    </row>
    <row r="15">
      <c r="A15" s="13" t="n">
        <v>10</v>
      </c>
      <c r="B15" s="14" t="inlineStr">
        <is>
          <t>ALEX LAL</t>
        </is>
      </c>
      <c r="C15" s="14" t="inlineStr">
        <is>
          <t>DENTER</t>
        </is>
      </c>
      <c r="D15" s="14" t="inlineStr">
        <is>
          <t>TN0047</t>
        </is>
      </c>
      <c r="E15" s="13" t="n">
        <v>24</v>
      </c>
      <c r="F15" s="15">
        <f>E15*8</f>
        <v/>
      </c>
      <c r="G15" s="16" t="n">
        <v>0</v>
      </c>
      <c r="H15" s="15">
        <f>F15+G15</f>
        <v/>
      </c>
      <c r="I15" s="16" t="n">
        <v>154.99</v>
      </c>
      <c r="J15" s="17">
        <f>IFERROR(I15/H15,0)</f>
        <v/>
      </c>
      <c r="K15" s="17">
        <f>MAX(0,1-J15)</f>
        <v/>
      </c>
      <c r="L15" s="18" t="n">
        <v>13202.01</v>
      </c>
      <c r="M15" s="16" t="n">
        <v>154.99</v>
      </c>
      <c r="N15" s="15">
        <f>M15+E15*2</f>
        <v/>
      </c>
      <c r="O15" s="17">
        <f>MIN(1.25,J15+15%)</f>
        <v/>
      </c>
      <c r="P15" s="17">
        <f>J15</f>
        <v/>
      </c>
      <c r="Q15" s="17">
        <f>MIN(1.25,O15*P15/90%)</f>
        <v/>
      </c>
    </row>
    <row r="16">
      <c r="A16" s="13" t="n">
        <v>11</v>
      </c>
      <c r="B16" s="14" t="inlineStr">
        <is>
          <t>MOHAMMAD ALMAGIR</t>
        </is>
      </c>
      <c r="C16" s="14" t="inlineStr">
        <is>
          <t>MECHANIC</t>
        </is>
      </c>
      <c r="D16" s="14" t="inlineStr">
        <is>
          <t>TN0055</t>
        </is>
      </c>
      <c r="E16" s="13" t="n">
        <v>12</v>
      </c>
      <c r="F16" s="15">
        <f>E16*8</f>
        <v/>
      </c>
      <c r="G16" s="16" t="n">
        <v>0</v>
      </c>
      <c r="H16" s="15">
        <f>F16+G16</f>
        <v/>
      </c>
      <c r="I16" s="16" t="n">
        <v>37.74</v>
      </c>
      <c r="J16" s="17">
        <f>IFERROR(I16/H16,0)</f>
        <v/>
      </c>
      <c r="K16" s="17">
        <f>MAX(0,1-J16)</f>
        <v/>
      </c>
      <c r="L16" s="18" t="n">
        <v>3233.73</v>
      </c>
      <c r="M16" s="16" t="n">
        <v>37.74</v>
      </c>
      <c r="N16" s="15">
        <f>M16+E16*2</f>
        <v/>
      </c>
      <c r="O16" s="17">
        <f>MIN(1.25,J16+15%)</f>
        <v/>
      </c>
      <c r="P16" s="17">
        <f>J16</f>
        <v/>
      </c>
      <c r="Q16" s="17">
        <f>MIN(1.25,O16*P16/90%)</f>
        <v/>
      </c>
    </row>
    <row r="17">
      <c r="A17" s="13" t="n">
        <v>12</v>
      </c>
      <c r="B17" s="14" t="inlineStr">
        <is>
          <t>ADESH BARUA</t>
        </is>
      </c>
      <c r="C17" s="14" t="inlineStr">
        <is>
          <t>ELECTRICIAN</t>
        </is>
      </c>
      <c r="D17" s="14" t="inlineStr">
        <is>
          <t>TN0064</t>
        </is>
      </c>
      <c r="E17" s="13" t="n">
        <v>26</v>
      </c>
      <c r="F17" s="15">
        <f>E17*8</f>
        <v/>
      </c>
      <c r="G17" s="16" t="n">
        <v>4</v>
      </c>
      <c r="H17" s="15">
        <f>F17+G17</f>
        <v/>
      </c>
      <c r="I17" s="16" t="n">
        <v>174.64</v>
      </c>
      <c r="J17" s="17">
        <f>IFERROR(I17/H17,0)</f>
        <v/>
      </c>
      <c r="K17" s="17">
        <f>MAX(0,1-J17)</f>
        <v/>
      </c>
      <c r="L17" s="18" t="n">
        <v>14630.77</v>
      </c>
      <c r="M17" s="16" t="n">
        <v>174.64</v>
      </c>
      <c r="N17" s="15">
        <f>M17+E17*2</f>
        <v/>
      </c>
      <c r="O17" s="17">
        <f>MIN(1.25,J17+15%)</f>
        <v/>
      </c>
      <c r="P17" s="17">
        <f>J17</f>
        <v/>
      </c>
      <c r="Q17" s="17">
        <f>MIN(1.25,O17*P17/90%)</f>
        <v/>
      </c>
    </row>
    <row r="18">
      <c r="A18" s="13" t="n">
        <v>13</v>
      </c>
      <c r="B18" s="14" t="inlineStr">
        <is>
          <t>BIDYADHAR BHUYAN</t>
        </is>
      </c>
      <c r="C18" s="14" t="inlineStr">
        <is>
          <t>PAINTER</t>
        </is>
      </c>
      <c r="D18" s="14" t="inlineStr">
        <is>
          <t>TN0067</t>
        </is>
      </c>
      <c r="E18" s="13" t="n">
        <v>26</v>
      </c>
      <c r="F18" s="15">
        <f>E18*8</f>
        <v/>
      </c>
      <c r="G18" s="16" t="n">
        <v>1</v>
      </c>
      <c r="H18" s="15">
        <f>F18+G18</f>
        <v/>
      </c>
      <c r="I18" s="16" t="n">
        <v>158.08</v>
      </c>
      <c r="J18" s="17">
        <f>IFERROR(I18/H18,0)</f>
        <v/>
      </c>
      <c r="K18" s="17">
        <f>MAX(0,1-J18)</f>
        <v/>
      </c>
      <c r="L18" s="18" t="n">
        <v>13602.32</v>
      </c>
      <c r="M18" s="16" t="n">
        <v>158.08</v>
      </c>
      <c r="N18" s="15">
        <f>M18+E18*2</f>
        <v/>
      </c>
      <c r="O18" s="17">
        <f>MIN(1.25,J18+15%)</f>
        <v/>
      </c>
      <c r="P18" s="17">
        <f>J18</f>
        <v/>
      </c>
      <c r="Q18" s="17">
        <f>MIN(1.25,O18*P18/90%)</f>
        <v/>
      </c>
    </row>
    <row r="19">
      <c r="A19" s="13" t="n">
        <v>14</v>
      </c>
      <c r="B19" s="14" t="inlineStr">
        <is>
          <t>MOHAMMAD EHTESHAM</t>
        </is>
      </c>
      <c r="C19" s="14" t="inlineStr">
        <is>
          <t>PAINTER</t>
        </is>
      </c>
      <c r="D19" s="14" t="inlineStr">
        <is>
          <t>TN0069</t>
        </is>
      </c>
      <c r="E19" s="13" t="n">
        <v>25</v>
      </c>
      <c r="F19" s="15">
        <f>E19*8</f>
        <v/>
      </c>
      <c r="G19" s="16" t="n">
        <v>0</v>
      </c>
      <c r="H19" s="15">
        <f>F19+G19</f>
        <v/>
      </c>
      <c r="I19" s="16" t="n">
        <v>176.57</v>
      </c>
      <c r="J19" s="17">
        <f>IFERROR(I19/H19,0)</f>
        <v/>
      </c>
      <c r="K19" s="17">
        <f>MAX(0,1-J19)</f>
        <v/>
      </c>
      <c r="L19" s="18" t="n">
        <v>15214.56</v>
      </c>
      <c r="M19" s="16" t="n">
        <v>176.57</v>
      </c>
      <c r="N19" s="15">
        <f>M19+E19*2</f>
        <v/>
      </c>
      <c r="O19" s="17">
        <f>MIN(1.25,J19+15%)</f>
        <v/>
      </c>
      <c r="P19" s="17">
        <f>J19</f>
        <v/>
      </c>
      <c r="Q19" s="17">
        <f>MIN(1.25,O19*P19/90%)</f>
        <v/>
      </c>
    </row>
    <row r="20">
      <c r="A20" s="13" t="n">
        <v>15</v>
      </c>
      <c r="B20" s="14" t="inlineStr">
        <is>
          <t>SHAZADA ALI</t>
        </is>
      </c>
      <c r="C20" s="14" t="inlineStr">
        <is>
          <t>DENTER</t>
        </is>
      </c>
      <c r="D20" s="14" t="inlineStr">
        <is>
          <t>TN0072</t>
        </is>
      </c>
      <c r="E20" s="13" t="n">
        <v>26</v>
      </c>
      <c r="F20" s="15">
        <f>E20*8</f>
        <v/>
      </c>
      <c r="G20" s="16" t="n">
        <v>0</v>
      </c>
      <c r="H20" s="15">
        <f>F20+G20</f>
        <v/>
      </c>
      <c r="I20" s="16" t="n">
        <v>186.2</v>
      </c>
      <c r="J20" s="17">
        <f>IFERROR(I20/H20,0)</f>
        <v/>
      </c>
      <c r="K20" s="17">
        <f>MAX(0,1-J20)</f>
        <v/>
      </c>
      <c r="L20" s="18" t="n">
        <v>15505.8</v>
      </c>
      <c r="M20" s="16" t="n">
        <v>186.2</v>
      </c>
      <c r="N20" s="15">
        <f>M20+E20*2</f>
        <v/>
      </c>
      <c r="O20" s="17">
        <f>MIN(1.25,J20+15%)</f>
        <v/>
      </c>
      <c r="P20" s="17">
        <f>J20</f>
        <v/>
      </c>
      <c r="Q20" s="17">
        <f>MIN(1.25,O20*P20/90%)</f>
        <v/>
      </c>
    </row>
    <row r="21">
      <c r="A21" s="13" t="n">
        <v>16</v>
      </c>
      <c r="B21" s="14" t="inlineStr">
        <is>
          <t>DIVAKAREN</t>
        </is>
      </c>
      <c r="C21" s="14" t="inlineStr">
        <is>
          <t>ELECTRICIAN</t>
        </is>
      </c>
      <c r="D21" s="14" t="inlineStr">
        <is>
          <t>TN0073</t>
        </is>
      </c>
      <c r="E21" s="13" t="n">
        <v>27</v>
      </c>
      <c r="F21" s="15">
        <f>E21*8</f>
        <v/>
      </c>
      <c r="G21" s="16" t="n">
        <v>2</v>
      </c>
      <c r="H21" s="15">
        <f>F21+G21</f>
        <v/>
      </c>
      <c r="I21" s="16" t="n">
        <v>113.25</v>
      </c>
      <c r="J21" s="17">
        <f>IFERROR(I21/H21,0)</f>
        <v/>
      </c>
      <c r="K21" s="17">
        <f>MAX(0,1-J21)</f>
        <v/>
      </c>
      <c r="L21" s="18" t="n">
        <v>9646.139999999999</v>
      </c>
      <c r="M21" s="16" t="n">
        <v>113.25</v>
      </c>
      <c r="N21" s="15">
        <f>M21+E21*2</f>
        <v/>
      </c>
      <c r="O21" s="17">
        <f>MIN(1.25,J21+15%)</f>
        <v/>
      </c>
      <c r="P21" s="17">
        <f>J21</f>
        <v/>
      </c>
      <c r="Q21" s="17">
        <f>MIN(1.25,O21*P21/90%)</f>
        <v/>
      </c>
    </row>
    <row r="22">
      <c r="A22" s="13" t="n">
        <v>17</v>
      </c>
      <c r="B22" s="14" t="inlineStr">
        <is>
          <t>RAGHIN KUVVAKKAT</t>
        </is>
      </c>
      <c r="C22" s="14" t="inlineStr">
        <is>
          <t>MECHANIC</t>
        </is>
      </c>
      <c r="D22" s="14" t="inlineStr">
        <is>
          <t>TN0082</t>
        </is>
      </c>
      <c r="E22" s="13" t="n">
        <v>27</v>
      </c>
      <c r="F22" s="15">
        <f>E22*8</f>
        <v/>
      </c>
      <c r="G22" s="16" t="n">
        <v>0</v>
      </c>
      <c r="H22" s="15">
        <f>F22+G22</f>
        <v/>
      </c>
      <c r="I22" s="16" t="n">
        <v>141.34</v>
      </c>
      <c r="J22" s="17">
        <f>IFERROR(I22/H22,0)</f>
        <v/>
      </c>
      <c r="K22" s="17">
        <f>MAX(0,1-J22)</f>
        <v/>
      </c>
      <c r="L22" s="18" t="n">
        <v>11733</v>
      </c>
      <c r="M22" s="16" t="n">
        <v>141.34</v>
      </c>
      <c r="N22" s="15">
        <f>M22+E22*2</f>
        <v/>
      </c>
      <c r="O22" s="17">
        <f>MIN(1.25,J22+15%)</f>
        <v/>
      </c>
      <c r="P22" s="17">
        <f>J22</f>
        <v/>
      </c>
      <c r="Q22" s="17">
        <f>MIN(1.25,O22*P22/90%)</f>
        <v/>
      </c>
    </row>
    <row r="23">
      <c r="A23" s="13" t="n">
        <v>18</v>
      </c>
      <c r="B23" s="14" t="inlineStr">
        <is>
          <t>MARLON LANDICHO</t>
        </is>
      </c>
      <c r="C23" s="14" t="inlineStr">
        <is>
          <t>MECHANIC</t>
        </is>
      </c>
      <c r="D23" s="14" t="inlineStr">
        <is>
          <t>TN0089</t>
        </is>
      </c>
      <c r="E23" s="13" t="n">
        <v>26</v>
      </c>
      <c r="F23" s="15">
        <f>E23*8</f>
        <v/>
      </c>
      <c r="G23" s="16" t="n">
        <v>2</v>
      </c>
      <c r="H23" s="15">
        <f>F23+G23</f>
        <v/>
      </c>
      <c r="I23" s="16" t="n">
        <v>179.61</v>
      </c>
      <c r="J23" s="17">
        <f>IFERROR(I23/H23,0)</f>
        <v/>
      </c>
      <c r="K23" s="17">
        <f>MAX(0,1-J23)</f>
        <v/>
      </c>
      <c r="L23" s="18" t="n">
        <v>15348.82</v>
      </c>
      <c r="M23" s="16" t="n">
        <v>179.61</v>
      </c>
      <c r="N23" s="15">
        <f>M23+E23*2</f>
        <v/>
      </c>
      <c r="O23" s="17">
        <f>MIN(1.25,J23+15%)</f>
        <v/>
      </c>
      <c r="P23" s="17">
        <f>J23</f>
        <v/>
      </c>
      <c r="Q23" s="17">
        <f>MIN(1.25,O23*P23/90%)</f>
        <v/>
      </c>
    </row>
    <row r="24">
      <c r="A24" s="13" t="n">
        <v>19</v>
      </c>
      <c r="B24" s="14" t="inlineStr">
        <is>
          <t>LIJO SAJAN DANIEL</t>
        </is>
      </c>
      <c r="C24" s="14" t="inlineStr">
        <is>
          <t>MECHANIC</t>
        </is>
      </c>
      <c r="D24" s="14" t="inlineStr">
        <is>
          <t>TN0092</t>
        </is>
      </c>
      <c r="E24" s="13" t="n">
        <v>27</v>
      </c>
      <c r="F24" s="15">
        <f>E24*8</f>
        <v/>
      </c>
      <c r="G24" s="16" t="n">
        <v>2</v>
      </c>
      <c r="H24" s="15">
        <f>F24+G24</f>
        <v/>
      </c>
      <c r="I24" s="16" t="n">
        <v>171.15</v>
      </c>
      <c r="J24" s="17">
        <f>IFERROR(I24/H24,0)</f>
        <v/>
      </c>
      <c r="K24" s="17">
        <f>MAX(0,1-J24)</f>
        <v/>
      </c>
      <c r="L24" s="18" t="n">
        <v>14816.74</v>
      </c>
      <c r="M24" s="16" t="n">
        <v>171.15</v>
      </c>
      <c r="N24" s="15">
        <f>M24+E24*2</f>
        <v/>
      </c>
      <c r="O24" s="17">
        <f>MIN(1.25,J24+15%)</f>
        <v/>
      </c>
      <c r="P24" s="17">
        <f>J24</f>
        <v/>
      </c>
      <c r="Q24" s="17">
        <f>MIN(1.25,O24*P24/90%)</f>
        <v/>
      </c>
    </row>
    <row r="25">
      <c r="A25" s="13" t="n">
        <v>20</v>
      </c>
      <c r="B25" s="14" t="inlineStr">
        <is>
          <t>WASSIM AKKARI</t>
        </is>
      </c>
      <c r="C25" s="14" t="inlineStr">
        <is>
          <t>TYRE TECHNICIAN</t>
        </is>
      </c>
      <c r="D25" s="14" t="inlineStr">
        <is>
          <t>TN0096</t>
        </is>
      </c>
      <c r="E25" s="13" t="n">
        <v>26</v>
      </c>
      <c r="F25" s="15">
        <f>E25*8</f>
        <v/>
      </c>
      <c r="G25" s="16" t="n">
        <v>2</v>
      </c>
      <c r="H25" s="15">
        <f>F25+G25</f>
        <v/>
      </c>
      <c r="I25" s="16" t="n">
        <v>132.98</v>
      </c>
      <c r="J25" s="17">
        <f>IFERROR(I25/H25,0)</f>
        <v/>
      </c>
      <c r="K25" s="17">
        <f>MAX(0,1-J25)</f>
        <v/>
      </c>
      <c r="L25" s="18" t="n">
        <v>11183.92</v>
      </c>
      <c r="M25" s="16" t="n">
        <v>132.98</v>
      </c>
      <c r="N25" s="15">
        <f>M25+E25*2</f>
        <v/>
      </c>
      <c r="O25" s="17">
        <f>MIN(1.25,J25+15%)</f>
        <v/>
      </c>
      <c r="P25" s="17">
        <f>J25</f>
        <v/>
      </c>
      <c r="Q25" s="17">
        <f>MIN(1.25,O25*P25/90%)</f>
        <v/>
      </c>
    </row>
    <row r="26">
      <c r="A26" s="13" t="n">
        <v>21</v>
      </c>
      <c r="B26" s="14" t="inlineStr">
        <is>
          <t>MUHAMMAD NADEEM</t>
        </is>
      </c>
      <c r="C26" s="14" t="inlineStr">
        <is>
          <t>MECHANIC</t>
        </is>
      </c>
      <c r="D26" s="14" t="inlineStr">
        <is>
          <t>TN0107</t>
        </is>
      </c>
      <c r="E26" s="13" t="n">
        <v>27</v>
      </c>
      <c r="F26" s="15">
        <f>E26*8</f>
        <v/>
      </c>
      <c r="G26" s="16" t="n">
        <v>0</v>
      </c>
      <c r="H26" s="15">
        <f>F26+G26</f>
        <v/>
      </c>
      <c r="I26" s="16" t="n">
        <v>209.29</v>
      </c>
      <c r="J26" s="17">
        <f>IFERROR(I26/H26,0)</f>
        <v/>
      </c>
      <c r="K26" s="17">
        <f>MAX(0,1-J26)</f>
        <v/>
      </c>
      <c r="L26" s="18" t="n">
        <v>18001.02</v>
      </c>
      <c r="M26" s="16" t="n">
        <v>209.29</v>
      </c>
      <c r="N26" s="15">
        <f>M26+E26*2</f>
        <v/>
      </c>
      <c r="O26" s="17">
        <f>MIN(1.25,J26+15%)</f>
        <v/>
      </c>
      <c r="P26" s="17">
        <f>J26</f>
        <v/>
      </c>
      <c r="Q26" s="17">
        <f>MIN(1.25,O26*P26/90%)</f>
        <v/>
      </c>
    </row>
    <row r="27">
      <c r="A27" s="13" t="n">
        <v>22</v>
      </c>
      <c r="B27" s="14" t="inlineStr">
        <is>
          <t>SURESH NATRAJAN</t>
        </is>
      </c>
      <c r="C27" s="14" t="inlineStr">
        <is>
          <t>TYRE TECHNICIAN</t>
        </is>
      </c>
      <c r="D27" s="14" t="inlineStr">
        <is>
          <t>TN0109</t>
        </is>
      </c>
      <c r="E27" s="13" t="n">
        <v>27</v>
      </c>
      <c r="F27" s="15">
        <f>E27*8</f>
        <v/>
      </c>
      <c r="G27" s="16" t="n">
        <v>2</v>
      </c>
      <c r="H27" s="15">
        <f>F27+G27</f>
        <v/>
      </c>
      <c r="I27" s="16" t="n">
        <v>189.62</v>
      </c>
      <c r="J27" s="17">
        <f>IFERROR(I27/H27,0)</f>
        <v/>
      </c>
      <c r="K27" s="17">
        <f>MAX(0,1-J27)</f>
        <v/>
      </c>
      <c r="L27" s="18" t="n">
        <v>16402.17</v>
      </c>
      <c r="M27" s="16" t="n">
        <v>189.62</v>
      </c>
      <c r="N27" s="15">
        <f>M27+E27*2</f>
        <v/>
      </c>
      <c r="O27" s="17">
        <f>MIN(1.25,J27+15%)</f>
        <v/>
      </c>
      <c r="P27" s="17">
        <f>J27</f>
        <v/>
      </c>
      <c r="Q27" s="17">
        <f>MIN(1.25,O27*P27/90%)</f>
        <v/>
      </c>
    </row>
    <row r="28">
      <c r="A28" s="13" t="n">
        <v>23</v>
      </c>
      <c r="B28" s="14" t="inlineStr">
        <is>
          <t>NIKHIL VARKEY</t>
        </is>
      </c>
      <c r="C28" s="14" t="inlineStr">
        <is>
          <t>ELECTRICIAN</t>
        </is>
      </c>
      <c r="D28" s="14" t="inlineStr">
        <is>
          <t>TN0114</t>
        </is>
      </c>
      <c r="E28" s="13" t="n">
        <v>27</v>
      </c>
      <c r="F28" s="15">
        <f>E28*8</f>
        <v/>
      </c>
      <c r="G28" s="16" t="n">
        <v>1</v>
      </c>
      <c r="H28" s="15">
        <f>F28+G28</f>
        <v/>
      </c>
      <c r="I28" s="16" t="n">
        <v>112.64</v>
      </c>
      <c r="J28" s="17">
        <f>IFERROR(I28/H28,0)</f>
        <v/>
      </c>
      <c r="K28" s="17">
        <f>MAX(0,1-J28)</f>
        <v/>
      </c>
      <c r="L28" s="18" t="n">
        <v>9637.790000000001</v>
      </c>
      <c r="M28" s="16" t="n">
        <v>112.64</v>
      </c>
      <c r="N28" s="15">
        <f>M28+E28*2</f>
        <v/>
      </c>
      <c r="O28" s="17">
        <f>MIN(1.25,J28+15%)</f>
        <v/>
      </c>
      <c r="P28" s="17">
        <f>J28</f>
        <v/>
      </c>
      <c r="Q28" s="17">
        <f>MIN(1.25,O28*P28/90%)</f>
        <v/>
      </c>
    </row>
    <row r="29">
      <c r="A29" s="13" t="n">
        <v>24</v>
      </c>
      <c r="B29" s="14" t="inlineStr">
        <is>
          <t>SAFIQUE MAHAMMAD</t>
        </is>
      </c>
      <c r="C29" s="14" t="inlineStr">
        <is>
          <t>DENTER</t>
        </is>
      </c>
      <c r="D29" s="14" t="inlineStr">
        <is>
          <t>TN0116</t>
        </is>
      </c>
      <c r="E29" s="13" t="n">
        <v>25</v>
      </c>
      <c r="F29" s="15">
        <f>E29*8</f>
        <v/>
      </c>
      <c r="G29" s="16" t="n">
        <v>1</v>
      </c>
      <c r="H29" s="15">
        <f>F29+G29</f>
        <v/>
      </c>
      <c r="I29" s="16" t="n">
        <v>146.27</v>
      </c>
      <c r="J29" s="17">
        <f>IFERROR(I29/H29,0)</f>
        <v/>
      </c>
      <c r="K29" s="17">
        <f>MAX(0,1-J29)</f>
        <v/>
      </c>
      <c r="L29" s="18" t="n">
        <v>12258.57</v>
      </c>
      <c r="M29" s="16" t="n">
        <v>146.27</v>
      </c>
      <c r="N29" s="15">
        <f>M29+E29*2</f>
        <v/>
      </c>
      <c r="O29" s="17">
        <f>MIN(1.25,J29+15%)</f>
        <v/>
      </c>
      <c r="P29" s="17">
        <f>J29</f>
        <v/>
      </c>
      <c r="Q29" s="17">
        <f>MIN(1.25,O29*P29/90%)</f>
        <v/>
      </c>
    </row>
    <row r="30">
      <c r="A30" s="13" t="n">
        <v>25</v>
      </c>
      <c r="B30" s="14" t="inlineStr">
        <is>
          <t>MOHAMAMD RAJA</t>
        </is>
      </c>
      <c r="C30" s="14" t="inlineStr">
        <is>
          <t>PAINTER</t>
        </is>
      </c>
      <c r="D30" s="14" t="inlineStr">
        <is>
          <t>TN0121</t>
        </is>
      </c>
      <c r="E30" s="13" t="n">
        <v>26</v>
      </c>
      <c r="F30" s="15">
        <f>E30*8</f>
        <v/>
      </c>
      <c r="G30" s="16" t="n">
        <v>0</v>
      </c>
      <c r="H30" s="15">
        <f>F30+G30</f>
        <v/>
      </c>
      <c r="I30" s="16" t="n">
        <v>151.18</v>
      </c>
      <c r="J30" s="17">
        <f>IFERROR(I30/H30,0)</f>
        <v/>
      </c>
      <c r="K30" s="17">
        <f>MAX(0,1-J30)</f>
        <v/>
      </c>
      <c r="L30" s="18" t="n">
        <v>13126.03</v>
      </c>
      <c r="M30" s="16" t="n">
        <v>151.18</v>
      </c>
      <c r="N30" s="15">
        <f>M30+E30*2</f>
        <v/>
      </c>
      <c r="O30" s="17">
        <f>MIN(1.25,J30+15%)</f>
        <v/>
      </c>
      <c r="P30" s="17">
        <f>J30</f>
        <v/>
      </c>
      <c r="Q30" s="17">
        <f>MIN(1.25,O30*P30/90%)</f>
        <v/>
      </c>
    </row>
    <row r="31">
      <c r="A31" s="13" t="n">
        <v>26</v>
      </c>
      <c r="B31" s="14" t="inlineStr">
        <is>
          <t>EJAJ AHMAD</t>
        </is>
      </c>
      <c r="C31" s="14" t="inlineStr">
        <is>
          <t>DENTER</t>
        </is>
      </c>
      <c r="D31" s="14" t="inlineStr">
        <is>
          <t>TN0122</t>
        </is>
      </c>
      <c r="E31" s="13" t="n">
        <v>25</v>
      </c>
      <c r="F31" s="15">
        <f>E31*8</f>
        <v/>
      </c>
      <c r="G31" s="16" t="n">
        <v>0</v>
      </c>
      <c r="H31" s="15">
        <f>F31+G31</f>
        <v/>
      </c>
      <c r="I31" s="16" t="n">
        <v>172.69</v>
      </c>
      <c r="J31" s="17">
        <f>IFERROR(I31/H31,0)</f>
        <v/>
      </c>
      <c r="K31" s="17">
        <f>MAX(0,1-J31)</f>
        <v/>
      </c>
      <c r="L31" s="18" t="n">
        <v>14775.8</v>
      </c>
      <c r="M31" s="16" t="n">
        <v>172.69</v>
      </c>
      <c r="N31" s="15">
        <f>M31+E31*2</f>
        <v/>
      </c>
      <c r="O31" s="17">
        <f>MIN(1.25,J31+15%)</f>
        <v/>
      </c>
      <c r="P31" s="17">
        <f>J31</f>
        <v/>
      </c>
      <c r="Q31" s="17">
        <f>MIN(1.25,O31*P31/90%)</f>
        <v/>
      </c>
    </row>
    <row r="32">
      <c r="A32" s="13" t="n">
        <v>27</v>
      </c>
      <c r="B32" s="14" t="inlineStr">
        <is>
          <t>MUHAMMAD ALMAS</t>
        </is>
      </c>
      <c r="C32" s="14" t="inlineStr">
        <is>
          <t>DENTER</t>
        </is>
      </c>
      <c r="D32" s="14" t="inlineStr">
        <is>
          <t>TN0128</t>
        </is>
      </c>
      <c r="E32" s="13" t="n">
        <v>26</v>
      </c>
      <c r="F32" s="15">
        <f>E32*8</f>
        <v/>
      </c>
      <c r="G32" s="16" t="n">
        <v>4</v>
      </c>
      <c r="H32" s="15">
        <f>F32+G32</f>
        <v/>
      </c>
      <c r="I32" s="16" t="n">
        <v>125.19</v>
      </c>
      <c r="J32" s="17">
        <f>IFERROR(I32/H32,0)</f>
        <v/>
      </c>
      <c r="K32" s="17">
        <f>MAX(0,1-J32)</f>
        <v/>
      </c>
      <c r="L32" s="18" t="n">
        <v>10597.29</v>
      </c>
      <c r="M32" s="16" t="n">
        <v>125.19</v>
      </c>
      <c r="N32" s="15">
        <f>M32+E32*2</f>
        <v/>
      </c>
      <c r="O32" s="17">
        <f>MIN(1.25,J32+15%)</f>
        <v/>
      </c>
      <c r="P32" s="17">
        <f>J32</f>
        <v/>
      </c>
      <c r="Q32" s="17">
        <f>MIN(1.25,O32*P32/90%)</f>
        <v/>
      </c>
    </row>
    <row r="33">
      <c r="A33" s="13" t="n">
        <v>28</v>
      </c>
      <c r="B33" s="14" t="inlineStr">
        <is>
          <t>Zeshan</t>
        </is>
      </c>
      <c r="C33" s="14" t="inlineStr">
        <is>
          <t>DENTER</t>
        </is>
      </c>
      <c r="D33" s="14" t="inlineStr">
        <is>
          <t>TN0141</t>
        </is>
      </c>
      <c r="E33" s="13" t="n">
        <v>27</v>
      </c>
      <c r="F33" s="15">
        <f>E33*8</f>
        <v/>
      </c>
      <c r="G33" s="16" t="n">
        <v>0</v>
      </c>
      <c r="H33" s="15">
        <f>F33+G33</f>
        <v/>
      </c>
      <c r="I33" s="16" t="n">
        <v>191.03</v>
      </c>
      <c r="J33" s="17">
        <f>IFERROR(I33/H33,0)</f>
        <v/>
      </c>
      <c r="K33" s="17">
        <f>MAX(0,1-J33)</f>
        <v/>
      </c>
      <c r="L33" s="18" t="n">
        <v>16329.48</v>
      </c>
      <c r="M33" s="16" t="n">
        <v>191.03</v>
      </c>
      <c r="N33" s="15">
        <f>M33+E33*2</f>
        <v/>
      </c>
      <c r="O33" s="17">
        <f>MIN(1.25,J33+15%)</f>
        <v/>
      </c>
      <c r="P33" s="17">
        <f>J33</f>
        <v/>
      </c>
      <c r="Q33" s="17">
        <f>MIN(1.25,O33*P33/90%)</f>
        <v/>
      </c>
    </row>
    <row r="34">
      <c r="A34" s="13" t="n">
        <v>29</v>
      </c>
      <c r="B34" s="14" t="inlineStr">
        <is>
          <t>SAIDAB AHAMED</t>
        </is>
      </c>
      <c r="C34" s="14" t="inlineStr">
        <is>
          <t>TYRE TECHNICIAN</t>
        </is>
      </c>
      <c r="D34" s="14" t="inlineStr">
        <is>
          <t>TN0150</t>
        </is>
      </c>
      <c r="E34" s="13" t="n">
        <v>27</v>
      </c>
      <c r="F34" s="15">
        <f>E34*8</f>
        <v/>
      </c>
      <c r="G34" s="16" t="n">
        <v>0</v>
      </c>
      <c r="H34" s="15">
        <f>F34+G34</f>
        <v/>
      </c>
      <c r="I34" s="16" t="n">
        <v>179.72</v>
      </c>
      <c r="J34" s="17">
        <f>IFERROR(I34/H34,0)</f>
        <v/>
      </c>
      <c r="K34" s="17">
        <f>MAX(0,1-J34)</f>
        <v/>
      </c>
      <c r="L34" s="18" t="n">
        <v>15491.04</v>
      </c>
      <c r="M34" s="16" t="n">
        <v>179.72</v>
      </c>
      <c r="N34" s="15">
        <f>M34+E34*2</f>
        <v/>
      </c>
      <c r="O34" s="17">
        <f>MIN(1.25,J34+15%)</f>
        <v/>
      </c>
      <c r="P34" s="17">
        <f>J34</f>
        <v/>
      </c>
      <c r="Q34" s="17">
        <f>MIN(1.25,O34*P34/90%)</f>
        <v/>
      </c>
    </row>
    <row r="35">
      <c r="A35" s="13" t="n">
        <v>30</v>
      </c>
      <c r="B35" s="14" t="inlineStr">
        <is>
          <t>FRANCIS AGEWI</t>
        </is>
      </c>
      <c r="C35" s="14" t="inlineStr">
        <is>
          <t>MECHANIC</t>
        </is>
      </c>
      <c r="D35" s="14" t="inlineStr">
        <is>
          <t>TN0171</t>
        </is>
      </c>
      <c r="E35" s="13" t="n">
        <v>27</v>
      </c>
      <c r="F35" s="15">
        <f>E35*8</f>
        <v/>
      </c>
      <c r="G35" s="16" t="n">
        <v>0</v>
      </c>
      <c r="H35" s="15">
        <f>F35+G35</f>
        <v/>
      </c>
      <c r="I35" s="16" t="n">
        <v>193.75</v>
      </c>
      <c r="J35" s="17">
        <f>IFERROR(I35/H35,0)</f>
        <v/>
      </c>
      <c r="K35" s="17">
        <f>MAX(0,1-J35)</f>
        <v/>
      </c>
      <c r="L35" s="18" t="n">
        <v>16208.5</v>
      </c>
      <c r="M35" s="16" t="n">
        <v>193.75</v>
      </c>
      <c r="N35" s="15">
        <f>M35+E35*2</f>
        <v/>
      </c>
      <c r="O35" s="17">
        <f>MIN(1.25,J35+15%)</f>
        <v/>
      </c>
      <c r="P35" s="17">
        <f>J35</f>
        <v/>
      </c>
      <c r="Q35" s="17">
        <f>MIN(1.25,O35*P35/90%)</f>
        <v/>
      </c>
    </row>
    <row r="36">
      <c r="A36" s="13" t="n">
        <v>31</v>
      </c>
      <c r="B36" s="14" t="inlineStr">
        <is>
          <t>Ally Ibrahim</t>
        </is>
      </c>
      <c r="C36" s="14" t="inlineStr">
        <is>
          <t>DENTER</t>
        </is>
      </c>
      <c r="D36" s="14" t="inlineStr">
        <is>
          <t>TN0180</t>
        </is>
      </c>
      <c r="E36" s="13" t="n">
        <v>16</v>
      </c>
      <c r="F36" s="15">
        <f>E36*8</f>
        <v/>
      </c>
      <c r="G36" s="16" t="n">
        <v>1</v>
      </c>
      <c r="H36" s="15">
        <f>F36+G36</f>
        <v/>
      </c>
      <c r="I36" s="16" t="n">
        <v>34.65</v>
      </c>
      <c r="J36" s="17">
        <f>IFERROR(I36/H36,0)</f>
        <v/>
      </c>
      <c r="K36" s="17">
        <f>MAX(0,1-J36)</f>
        <v/>
      </c>
      <c r="L36" s="18" t="n">
        <v>2965.2</v>
      </c>
      <c r="M36" s="16" t="n">
        <v>34.65</v>
      </c>
      <c r="N36" s="15">
        <f>M36+E36*2</f>
        <v/>
      </c>
      <c r="O36" s="17">
        <f>MIN(1.25,J36+15%)</f>
        <v/>
      </c>
      <c r="P36" s="17">
        <f>J36</f>
        <v/>
      </c>
      <c r="Q36" s="17">
        <f>MIN(1.25,O36*P36/90%)</f>
        <v/>
      </c>
    </row>
    <row r="37">
      <c r="A37" s="13" t="n">
        <v>32</v>
      </c>
      <c r="B37" s="14" t="inlineStr">
        <is>
          <t>RATHEETH PANICHOTH</t>
        </is>
      </c>
      <c r="C37" s="14" t="inlineStr">
        <is>
          <t>ELECTRICIAN</t>
        </is>
      </c>
      <c r="D37" s="14" t="inlineStr">
        <is>
          <t>TN0181</t>
        </is>
      </c>
      <c r="E37" s="13" t="n">
        <v>25</v>
      </c>
      <c r="F37" s="15">
        <f>E37*8</f>
        <v/>
      </c>
      <c r="G37" s="16" t="n">
        <v>0</v>
      </c>
      <c r="H37" s="15">
        <f>F37+G37</f>
        <v/>
      </c>
      <c r="I37" s="16" t="n">
        <v>150.21</v>
      </c>
      <c r="J37" s="17">
        <f>IFERROR(I37/H37,0)</f>
        <v/>
      </c>
      <c r="K37" s="17">
        <f>MAX(0,1-J37)</f>
        <v/>
      </c>
      <c r="L37" s="18" t="n">
        <v>12537.04</v>
      </c>
      <c r="M37" s="16" t="n">
        <v>150.21</v>
      </c>
      <c r="N37" s="15">
        <f>M37+E37*2</f>
        <v/>
      </c>
      <c r="O37" s="17">
        <f>MIN(1.25,J37+15%)</f>
        <v/>
      </c>
      <c r="P37" s="17">
        <f>J37</f>
        <v/>
      </c>
      <c r="Q37" s="17">
        <f>MIN(1.25,O37*P37/90%)</f>
        <v/>
      </c>
    </row>
    <row r="38">
      <c r="A38" s="13" t="n">
        <v>33</v>
      </c>
      <c r="B38" s="14" t="inlineStr">
        <is>
          <t>MARK KAYIGO</t>
        </is>
      </c>
      <c r="C38" s="14" t="inlineStr">
        <is>
          <t>MECHANIC</t>
        </is>
      </c>
      <c r="D38" s="14" t="inlineStr">
        <is>
          <t>TN0182</t>
        </is>
      </c>
      <c r="E38" s="13" t="n">
        <v>27</v>
      </c>
      <c r="F38" s="15">
        <f>E38*8</f>
        <v/>
      </c>
      <c r="G38" s="16" t="n">
        <v>0</v>
      </c>
      <c r="H38" s="15">
        <f>F38+G38</f>
        <v/>
      </c>
      <c r="I38" s="16" t="n">
        <v>203.91</v>
      </c>
      <c r="J38" s="17">
        <f>IFERROR(I38/H38,0)</f>
        <v/>
      </c>
      <c r="K38" s="17">
        <f>MAX(0,1-J38)</f>
        <v/>
      </c>
      <c r="L38" s="18" t="n">
        <v>17362.56</v>
      </c>
      <c r="M38" s="16" t="n">
        <v>203.91</v>
      </c>
      <c r="N38" s="15">
        <f>M38+E38*2</f>
        <v/>
      </c>
      <c r="O38" s="17">
        <f>MIN(1.25,J38+15%)</f>
        <v/>
      </c>
      <c r="P38" s="17">
        <f>J38</f>
        <v/>
      </c>
      <c r="Q38" s="17">
        <f>MIN(1.25,O38*P38/90%)</f>
        <v/>
      </c>
    </row>
    <row r="39">
      <c r="A39" s="13" t="n">
        <v>34</v>
      </c>
      <c r="B39" s="14" t="inlineStr">
        <is>
          <t>ENAYAT SHAIKH ALI SHAIKH</t>
        </is>
      </c>
      <c r="C39" s="14" t="inlineStr">
        <is>
          <t>PAINTER</t>
        </is>
      </c>
      <c r="D39" s="14" t="inlineStr">
        <is>
          <t>TN0185</t>
        </is>
      </c>
      <c r="E39" s="13" t="n">
        <v>26</v>
      </c>
      <c r="F39" s="15">
        <f>E39*8</f>
        <v/>
      </c>
      <c r="G39" s="16" t="n">
        <v>2</v>
      </c>
      <c r="H39" s="15">
        <f>F39+G39</f>
        <v/>
      </c>
      <c r="I39" s="16" t="n">
        <v>160.36</v>
      </c>
      <c r="J39" s="17">
        <f>IFERROR(I39/H39,0)</f>
        <v/>
      </c>
      <c r="K39" s="17">
        <f>MAX(0,1-J39)</f>
        <v/>
      </c>
      <c r="L39" s="18" t="n">
        <v>13334.13</v>
      </c>
      <c r="M39" s="16" t="n">
        <v>160.36</v>
      </c>
      <c r="N39" s="15">
        <f>M39+E39*2</f>
        <v/>
      </c>
      <c r="O39" s="17">
        <f>MIN(1.25,J39+15%)</f>
        <v/>
      </c>
      <c r="P39" s="17">
        <f>J39</f>
        <v/>
      </c>
      <c r="Q39" s="17">
        <f>MIN(1.25,O39*P39/90%)</f>
        <v/>
      </c>
    </row>
    <row r="40">
      <c r="A40" s="13" t="n">
        <v>35</v>
      </c>
      <c r="B40" s="14" t="inlineStr">
        <is>
          <t>WAQAS GUL KHAN</t>
        </is>
      </c>
      <c r="C40" s="14" t="inlineStr">
        <is>
          <t>PAINTER</t>
        </is>
      </c>
      <c r="D40" s="14" t="inlineStr">
        <is>
          <t>TN0186</t>
        </is>
      </c>
      <c r="E40" s="13" t="n">
        <v>24</v>
      </c>
      <c r="F40" s="15">
        <f>E40*8</f>
        <v/>
      </c>
      <c r="G40" s="16" t="n">
        <v>4</v>
      </c>
      <c r="H40" s="15">
        <f>F40+G40</f>
        <v/>
      </c>
      <c r="I40" s="16" t="n">
        <v>163.22</v>
      </c>
      <c r="J40" s="17">
        <f>IFERROR(I40/H40,0)</f>
        <v/>
      </c>
      <c r="K40" s="17">
        <f>MAX(0,1-J40)</f>
        <v/>
      </c>
      <c r="L40" s="18" t="n">
        <v>14127.02</v>
      </c>
      <c r="M40" s="16" t="n">
        <v>163.22</v>
      </c>
      <c r="N40" s="15">
        <f>M40+E40*2</f>
        <v/>
      </c>
      <c r="O40" s="17">
        <f>MIN(1.25,J40+15%)</f>
        <v/>
      </c>
      <c r="P40" s="17">
        <f>J40</f>
        <v/>
      </c>
      <c r="Q40" s="17">
        <f>MIN(1.25,O40*P40/90%)</f>
        <v/>
      </c>
    </row>
    <row r="41">
      <c r="A41" s="13" t="n">
        <v>36</v>
      </c>
      <c r="B41" s="14" t="inlineStr">
        <is>
          <t>FARHAN AHAMAD</t>
        </is>
      </c>
      <c r="C41" s="14" t="inlineStr">
        <is>
          <t>MECHANIC</t>
        </is>
      </c>
      <c r="D41" s="14" t="inlineStr">
        <is>
          <t>TN0187</t>
        </is>
      </c>
      <c r="E41" s="13" t="n">
        <v>24</v>
      </c>
      <c r="F41" s="15">
        <f>E41*8</f>
        <v/>
      </c>
      <c r="G41" s="16" t="n">
        <v>2</v>
      </c>
      <c r="H41" s="15">
        <f>F41+G41</f>
        <v/>
      </c>
      <c r="I41" s="16" t="n">
        <v>178.18</v>
      </c>
      <c r="J41" s="17">
        <f>IFERROR(I41/H41,0)</f>
        <v/>
      </c>
      <c r="K41" s="17">
        <f>MAX(0,1-J41)</f>
        <v/>
      </c>
      <c r="L41" s="18" t="n">
        <v>14789.25</v>
      </c>
      <c r="M41" s="16" t="n">
        <v>178.18</v>
      </c>
      <c r="N41" s="15">
        <f>M41+E41*2</f>
        <v/>
      </c>
      <c r="O41" s="17">
        <f>MIN(1.25,J41+15%)</f>
        <v/>
      </c>
      <c r="P41" s="17">
        <f>J41</f>
        <v/>
      </c>
      <c r="Q41" s="17">
        <f>MIN(1.25,O41*P41/90%)</f>
        <v/>
      </c>
    </row>
    <row r="42">
      <c r="A42" s="13" t="n">
        <v>37</v>
      </c>
      <c r="B42" s="14" t="inlineStr">
        <is>
          <t>ABDELILAH BOUDINA</t>
        </is>
      </c>
      <c r="C42" s="14" t="inlineStr">
        <is>
          <t>PAINTER</t>
        </is>
      </c>
      <c r="D42" s="14" t="inlineStr">
        <is>
          <t>TN0201</t>
        </is>
      </c>
      <c r="E42" s="13" t="n">
        <v>1</v>
      </c>
      <c r="F42" s="15">
        <f>E42*8</f>
        <v/>
      </c>
      <c r="G42" s="16" t="n">
        <v>0</v>
      </c>
      <c r="H42" s="15">
        <f>F42+G42</f>
        <v/>
      </c>
      <c r="I42" s="16" t="n">
        <v>0.64</v>
      </c>
      <c r="J42" s="17">
        <f>IFERROR(I42/H42,0)</f>
        <v/>
      </c>
      <c r="K42" s="17">
        <f>MAX(0,1-J42)</f>
        <v/>
      </c>
      <c r="L42" s="18" t="n">
        <v>54.81</v>
      </c>
      <c r="M42" s="16" t="n">
        <v>0.64</v>
      </c>
      <c r="N42" s="15">
        <f>M42+E42*2</f>
        <v/>
      </c>
      <c r="O42" s="17">
        <f>MIN(1.25,J42+15%)</f>
        <v/>
      </c>
      <c r="P42" s="17">
        <f>J42</f>
        <v/>
      </c>
      <c r="Q42" s="17">
        <f>MIN(1.25,O42*P42/90%)</f>
        <v/>
      </c>
    </row>
    <row r="43">
      <c r="A43" s="13" t="n">
        <v>38</v>
      </c>
      <c r="B43" s="14" t="inlineStr">
        <is>
          <t>Jerin Kurian Varghese</t>
        </is>
      </c>
      <c r="C43" s="14" t="inlineStr">
        <is>
          <t>MECHANIC</t>
        </is>
      </c>
      <c r="D43" s="14" t="inlineStr">
        <is>
          <t>TN0204</t>
        </is>
      </c>
      <c r="E43" s="13" t="n">
        <v>26</v>
      </c>
      <c r="F43" s="15">
        <f>E43*8</f>
        <v/>
      </c>
      <c r="G43" s="16" t="n">
        <v>0</v>
      </c>
      <c r="H43" s="15">
        <f>F43+G43</f>
        <v/>
      </c>
      <c r="I43" s="16" t="n">
        <v>187.47</v>
      </c>
      <c r="J43" s="17">
        <f>IFERROR(I43/H43,0)</f>
        <v/>
      </c>
      <c r="K43" s="17">
        <f>MAX(0,1-J43)</f>
        <v/>
      </c>
      <c r="L43" s="18" t="n">
        <v>15710.44</v>
      </c>
      <c r="M43" s="16" t="n">
        <v>187.47</v>
      </c>
      <c r="N43" s="15">
        <f>M43+E43*2</f>
        <v/>
      </c>
      <c r="O43" s="17">
        <f>MIN(1.25,J43+15%)</f>
        <v/>
      </c>
      <c r="P43" s="17">
        <f>J43</f>
        <v/>
      </c>
      <c r="Q43" s="17">
        <f>MIN(1.25,O43*P43/90%)</f>
        <v/>
      </c>
    </row>
    <row r="44">
      <c r="A44" s="13" t="n">
        <v>39</v>
      </c>
      <c r="B44" s="14" t="inlineStr">
        <is>
          <t>Mohammed Monjur</t>
        </is>
      </c>
      <c r="C44" s="14" t="inlineStr">
        <is>
          <t>MECHANIC</t>
        </is>
      </c>
      <c r="D44" s="14" t="inlineStr">
        <is>
          <t>TN0209</t>
        </is>
      </c>
      <c r="E44" s="13" t="n">
        <v>27</v>
      </c>
      <c r="F44" s="15">
        <f>E44*8</f>
        <v/>
      </c>
      <c r="G44" s="16" t="n">
        <v>0</v>
      </c>
      <c r="H44" s="15">
        <f>F44+G44</f>
        <v/>
      </c>
      <c r="I44" s="16" t="n">
        <v>196.72</v>
      </c>
      <c r="J44" s="17">
        <f>IFERROR(I44/H44,0)</f>
        <v/>
      </c>
      <c r="K44" s="17">
        <f>MAX(0,1-J44)</f>
        <v/>
      </c>
      <c r="L44" s="18" t="n">
        <v>16769.64</v>
      </c>
      <c r="M44" s="16" t="n">
        <v>196.72</v>
      </c>
      <c r="N44" s="15">
        <f>M44+E44*2</f>
        <v/>
      </c>
      <c r="O44" s="17">
        <f>MIN(1.25,J44+15%)</f>
        <v/>
      </c>
      <c r="P44" s="17">
        <f>J44</f>
        <v/>
      </c>
      <c r="Q44" s="17">
        <f>MIN(1.25,O44*P44/90%)</f>
        <v/>
      </c>
    </row>
    <row r="45">
      <c r="A45" s="13" t="n">
        <v>40</v>
      </c>
      <c r="B45" s="14" t="inlineStr">
        <is>
          <t>ZEGER HAYAT MOHAMMAD ZA</t>
        </is>
      </c>
      <c r="C45" s="14" t="inlineStr">
        <is>
          <t>MECHANIC</t>
        </is>
      </c>
      <c r="D45" s="14" t="inlineStr">
        <is>
          <t>TN0210</t>
        </is>
      </c>
      <c r="E45" s="13" t="n">
        <v>26</v>
      </c>
      <c r="F45" s="15">
        <f>E45*8</f>
        <v/>
      </c>
      <c r="G45" s="16" t="n">
        <v>0</v>
      </c>
      <c r="H45" s="15">
        <f>F45+G45</f>
        <v/>
      </c>
      <c r="I45" s="16" t="n">
        <v>146.31</v>
      </c>
      <c r="J45" s="17">
        <f>IFERROR(I45/H45,0)</f>
        <v/>
      </c>
      <c r="K45" s="17">
        <f>MAX(0,1-J45)</f>
        <v/>
      </c>
      <c r="L45" s="18" t="n">
        <v>12389.23</v>
      </c>
      <c r="M45" s="16" t="n">
        <v>146.31</v>
      </c>
      <c r="N45" s="15">
        <f>M45+E45*2</f>
        <v/>
      </c>
      <c r="O45" s="17">
        <f>MIN(1.25,J45+15%)</f>
        <v/>
      </c>
      <c r="P45" s="17">
        <f>J45</f>
        <v/>
      </c>
      <c r="Q45" s="17">
        <f>MIN(1.25,O45*P45/90%)</f>
        <v/>
      </c>
    </row>
    <row r="46">
      <c r="A46" s="13" t="n">
        <v>41</v>
      </c>
      <c r="B46" s="14" t="inlineStr">
        <is>
          <t>BIJU M UNNI</t>
        </is>
      </c>
      <c r="C46" s="14" t="inlineStr">
        <is>
          <t>PAINTER</t>
        </is>
      </c>
      <c r="D46" s="14" t="inlineStr">
        <is>
          <t>TN0220</t>
        </is>
      </c>
      <c r="E46" s="13" t="n">
        <v>27</v>
      </c>
      <c r="F46" s="15">
        <f>E46*8</f>
        <v/>
      </c>
      <c r="G46" s="16" t="n">
        <v>4</v>
      </c>
      <c r="H46" s="15">
        <f>F46+G46</f>
        <v/>
      </c>
      <c r="I46" s="16" t="n">
        <v>119.33</v>
      </c>
      <c r="J46" s="17">
        <f>IFERROR(I46/H46,0)</f>
        <v/>
      </c>
      <c r="K46" s="17">
        <f>MAX(0,1-J46)</f>
        <v/>
      </c>
      <c r="L46" s="18" t="n">
        <v>9922.4</v>
      </c>
      <c r="M46" s="16" t="n">
        <v>119.33</v>
      </c>
      <c r="N46" s="15">
        <f>M46+E46*2</f>
        <v/>
      </c>
      <c r="O46" s="17">
        <f>MIN(1.25,J46+15%)</f>
        <v/>
      </c>
      <c r="P46" s="17">
        <f>J46</f>
        <v/>
      </c>
      <c r="Q46" s="17">
        <f>MIN(1.25,O46*P46/90%)</f>
        <v/>
      </c>
    </row>
    <row r="47">
      <c r="A47" s="13" t="n">
        <v>42</v>
      </c>
      <c r="B47" s="14" t="inlineStr">
        <is>
          <t>DIBAKAR SAHOO MURALDHAR</t>
        </is>
      </c>
      <c r="C47" s="14" t="inlineStr">
        <is>
          <t>PAINTER</t>
        </is>
      </c>
      <c r="D47" s="14" t="inlineStr">
        <is>
          <t>TN0222</t>
        </is>
      </c>
      <c r="E47" s="13" t="n">
        <v>24</v>
      </c>
      <c r="F47" s="15">
        <f>E47*8</f>
        <v/>
      </c>
      <c r="G47" s="16" t="n">
        <v>0</v>
      </c>
      <c r="H47" s="15">
        <f>F47+G47</f>
        <v/>
      </c>
      <c r="I47" s="16" t="n">
        <v>158.97</v>
      </c>
      <c r="J47" s="17">
        <f>IFERROR(I47/H47,0)</f>
        <v/>
      </c>
      <c r="K47" s="17">
        <f>MAX(0,1-J47)</f>
        <v/>
      </c>
      <c r="L47" s="18" t="n">
        <v>13806.07</v>
      </c>
      <c r="M47" s="16" t="n">
        <v>158.97</v>
      </c>
      <c r="N47" s="15">
        <f>M47+E47*2</f>
        <v/>
      </c>
      <c r="O47" s="17">
        <f>MIN(1.25,J47+15%)</f>
        <v/>
      </c>
      <c r="P47" s="17">
        <f>J47</f>
        <v/>
      </c>
      <c r="Q47" s="17">
        <f>MIN(1.25,O47*P47/90%)</f>
        <v/>
      </c>
    </row>
    <row r="48">
      <c r="A48" s="13" t="n">
        <v>43</v>
      </c>
      <c r="B48" s="14" t="inlineStr">
        <is>
          <t>SHAIKH MUSTAQUE ALI</t>
        </is>
      </c>
      <c r="C48" s="14" t="inlineStr">
        <is>
          <t>DENTER</t>
        </is>
      </c>
      <c r="D48" s="14" t="inlineStr">
        <is>
          <t>TN0224</t>
        </is>
      </c>
      <c r="E48" s="13" t="n">
        <v>27</v>
      </c>
      <c r="F48" s="15">
        <f>E48*8</f>
        <v/>
      </c>
      <c r="G48" s="16" t="n">
        <v>0</v>
      </c>
      <c r="H48" s="15">
        <f>F48+G48</f>
        <v/>
      </c>
      <c r="I48" s="16" t="n">
        <v>161.93</v>
      </c>
      <c r="J48" s="17">
        <f>IFERROR(I48/H48,0)</f>
        <v/>
      </c>
      <c r="K48" s="17">
        <f>MAX(0,1-J48)</f>
        <v/>
      </c>
      <c r="L48" s="18" t="n">
        <v>13713.18</v>
      </c>
      <c r="M48" s="16" t="n">
        <v>161.93</v>
      </c>
      <c r="N48" s="15">
        <f>M48+E48*2</f>
        <v/>
      </c>
      <c r="O48" s="17">
        <f>MIN(1.25,J48+15%)</f>
        <v/>
      </c>
      <c r="P48" s="17">
        <f>J48</f>
        <v/>
      </c>
      <c r="Q48" s="17">
        <f>MIN(1.25,O48*P48/90%)</f>
        <v/>
      </c>
    </row>
    <row r="49">
      <c r="A49" s="13" t="n">
        <v>44</v>
      </c>
      <c r="B49" s="14" t="inlineStr">
        <is>
          <t>ZEESHAN IHSAN ULLAH</t>
        </is>
      </c>
      <c r="C49" s="14" t="inlineStr">
        <is>
          <t>DENTER</t>
        </is>
      </c>
      <c r="D49" s="14" t="inlineStr">
        <is>
          <t>TN0226</t>
        </is>
      </c>
      <c r="E49" s="13" t="n">
        <v>26</v>
      </c>
      <c r="F49" s="15">
        <f>E49*8</f>
        <v/>
      </c>
      <c r="G49" s="16" t="n">
        <v>2</v>
      </c>
      <c r="H49" s="15">
        <f>F49+G49</f>
        <v/>
      </c>
      <c r="I49" s="16" t="n">
        <v>189.24</v>
      </c>
      <c r="J49" s="17">
        <f>IFERROR(I49/H49,0)</f>
        <v/>
      </c>
      <c r="K49" s="17">
        <f>MAX(0,1-J49)</f>
        <v/>
      </c>
      <c r="L49" s="18" t="n">
        <v>16265.02</v>
      </c>
      <c r="M49" s="16" t="n">
        <v>189.24</v>
      </c>
      <c r="N49" s="15">
        <f>M49+E49*2</f>
        <v/>
      </c>
      <c r="O49" s="17">
        <f>MIN(1.25,J49+15%)</f>
        <v/>
      </c>
      <c r="P49" s="17">
        <f>J49</f>
        <v/>
      </c>
      <c r="Q49" s="17">
        <f>MIN(1.25,O49*P49/90%)</f>
        <v/>
      </c>
    </row>
    <row r="50">
      <c r="A50" s="13" t="n">
        <v>45</v>
      </c>
      <c r="B50" s="14" t="inlineStr">
        <is>
          <t>MIR EJAJ ALI</t>
        </is>
      </c>
      <c r="C50" s="14" t="inlineStr">
        <is>
          <t>PAINTER</t>
        </is>
      </c>
      <c r="D50" s="14" t="inlineStr">
        <is>
          <t>TN0227</t>
        </is>
      </c>
      <c r="E50" s="13" t="n">
        <v>18</v>
      </c>
      <c r="F50" s="15">
        <f>E50*8</f>
        <v/>
      </c>
      <c r="G50" s="16" t="n">
        <v>1</v>
      </c>
      <c r="H50" s="15">
        <f>F50+G50</f>
        <v/>
      </c>
      <c r="I50" s="16" t="n">
        <v>113.51</v>
      </c>
      <c r="J50" s="17">
        <f>IFERROR(I50/H50,0)</f>
        <v/>
      </c>
      <c r="K50" s="17">
        <f>MAX(0,1-J50)</f>
        <v/>
      </c>
      <c r="L50" s="18" t="n">
        <v>9427.950000000001</v>
      </c>
      <c r="M50" s="16" t="n">
        <v>113.51</v>
      </c>
      <c r="N50" s="15">
        <f>M50+E50*2</f>
        <v/>
      </c>
      <c r="O50" s="17">
        <f>MIN(1.25,J50+15%)</f>
        <v/>
      </c>
      <c r="P50" s="17">
        <f>J50</f>
        <v/>
      </c>
      <c r="Q50" s="17">
        <f>MIN(1.25,O50*P50/90%)</f>
        <v/>
      </c>
    </row>
    <row r="51">
      <c r="A51" s="13" t="n">
        <v>46</v>
      </c>
      <c r="B51" s="14" t="inlineStr">
        <is>
          <t>SAMUEL</t>
        </is>
      </c>
      <c r="C51" s="14" t="inlineStr">
        <is>
          <t>MECHANIC</t>
        </is>
      </c>
      <c r="D51" s="14" t="inlineStr">
        <is>
          <t>TN0235</t>
        </is>
      </c>
      <c r="E51" s="13" t="n">
        <v>27</v>
      </c>
      <c r="F51" s="15">
        <f>E51*8</f>
        <v/>
      </c>
      <c r="G51" s="16" t="n">
        <v>0</v>
      </c>
      <c r="H51" s="15">
        <f>F51+G51</f>
        <v/>
      </c>
      <c r="I51" s="16" t="n">
        <v>157.85</v>
      </c>
      <c r="J51" s="17">
        <f>IFERROR(I51/H51,0)</f>
        <v/>
      </c>
      <c r="K51" s="17">
        <f>MAX(0,1-J51)</f>
        <v/>
      </c>
      <c r="L51" s="18" t="n">
        <v>13539.43</v>
      </c>
      <c r="M51" s="16" t="n">
        <v>157.85</v>
      </c>
      <c r="N51" s="15">
        <f>M51+E51*2</f>
        <v/>
      </c>
      <c r="O51" s="17">
        <f>MIN(1.25,J51+15%)</f>
        <v/>
      </c>
      <c r="P51" s="17">
        <f>J51</f>
        <v/>
      </c>
      <c r="Q51" s="17">
        <f>MIN(1.25,O51*P51/90%)</f>
        <v/>
      </c>
    </row>
    <row r="52">
      <c r="A52" s="13" t="n">
        <v>47</v>
      </c>
      <c r="B52" s="14" t="inlineStr">
        <is>
          <t>BILAL KHAN</t>
        </is>
      </c>
      <c r="C52" s="14" t="inlineStr">
        <is>
          <t>DENTER</t>
        </is>
      </c>
      <c r="D52" s="14" t="inlineStr">
        <is>
          <t>TN0236</t>
        </is>
      </c>
      <c r="E52" s="13" t="n">
        <v>27</v>
      </c>
      <c r="F52" s="15">
        <f>E52*8</f>
        <v/>
      </c>
      <c r="G52" s="16" t="n">
        <v>0</v>
      </c>
      <c r="H52" s="15">
        <f>F52+G52</f>
        <v/>
      </c>
      <c r="I52" s="16" t="n">
        <v>184.98</v>
      </c>
      <c r="J52" s="17">
        <f>IFERROR(I52/H52,0)</f>
        <v/>
      </c>
      <c r="K52" s="17">
        <f>MAX(0,1-J52)</f>
        <v/>
      </c>
      <c r="L52" s="18" t="n">
        <v>15766.41</v>
      </c>
      <c r="M52" s="16" t="n">
        <v>184.98</v>
      </c>
      <c r="N52" s="15">
        <f>M52+E52*2</f>
        <v/>
      </c>
      <c r="O52" s="17">
        <f>MIN(1.25,J52+15%)</f>
        <v/>
      </c>
      <c r="P52" s="17">
        <f>J52</f>
        <v/>
      </c>
      <c r="Q52" s="17">
        <f>MIN(1.25,O52*P52/90%)</f>
        <v/>
      </c>
    </row>
    <row r="53">
      <c r="A53" s="13" t="n">
        <v>48</v>
      </c>
      <c r="B53" s="14" t="inlineStr">
        <is>
          <t>Mohammad Habib Raza</t>
        </is>
      </c>
      <c r="C53" s="14" t="inlineStr">
        <is>
          <t>MECHANIC</t>
        </is>
      </c>
      <c r="D53" s="14" t="inlineStr">
        <is>
          <t>TN0238</t>
        </is>
      </c>
      <c r="E53" s="13" t="n">
        <v>27</v>
      </c>
      <c r="F53" s="15">
        <f>E53*8</f>
        <v/>
      </c>
      <c r="G53" s="16" t="n">
        <v>2</v>
      </c>
      <c r="H53" s="15">
        <f>F53+G53</f>
        <v/>
      </c>
      <c r="I53" s="16" t="n">
        <v>210.97</v>
      </c>
      <c r="J53" s="17">
        <f>IFERROR(I53/H53,0)</f>
        <v/>
      </c>
      <c r="K53" s="17">
        <f>MAX(0,1-J53)</f>
        <v/>
      </c>
      <c r="L53" s="18" t="n">
        <v>17707.02</v>
      </c>
      <c r="M53" s="16" t="n">
        <v>210.97</v>
      </c>
      <c r="N53" s="15">
        <f>M53+E53*2</f>
        <v/>
      </c>
      <c r="O53" s="17">
        <f>MIN(1.25,J53+15%)</f>
        <v/>
      </c>
      <c r="P53" s="17">
        <f>J53</f>
        <v/>
      </c>
      <c r="Q53" s="17">
        <f>MIN(1.25,O53*P53/90%)</f>
        <v/>
      </c>
    </row>
    <row r="54">
      <c r="A54" s="13" t="n">
        <v>49</v>
      </c>
      <c r="B54" s="14" t="inlineStr">
        <is>
          <t>HAMEED ANIYAMPARAMBIL</t>
        </is>
      </c>
      <c r="C54" s="14" t="inlineStr">
        <is>
          <t>MECHANIC</t>
        </is>
      </c>
      <c r="D54" s="14" t="inlineStr">
        <is>
          <t>TN0239</t>
        </is>
      </c>
      <c r="E54" s="13" t="n">
        <v>25</v>
      </c>
      <c r="F54" s="15">
        <f>E54*8</f>
        <v/>
      </c>
      <c r="G54" s="16" t="n">
        <v>0</v>
      </c>
      <c r="H54" s="15">
        <f>F54+G54</f>
        <v/>
      </c>
      <c r="I54" s="16" t="n">
        <v>119.08</v>
      </c>
      <c r="J54" s="17">
        <f>IFERROR(I54/H54,0)</f>
        <v/>
      </c>
      <c r="K54" s="17">
        <f>MAX(0,1-J54)</f>
        <v/>
      </c>
      <c r="L54" s="18" t="n">
        <v>10270.26</v>
      </c>
      <c r="M54" s="16" t="n">
        <v>119.08</v>
      </c>
      <c r="N54" s="15">
        <f>M54+E54*2</f>
        <v/>
      </c>
      <c r="O54" s="17">
        <f>MIN(1.25,J54+15%)</f>
        <v/>
      </c>
      <c r="P54" s="17">
        <f>J54</f>
        <v/>
      </c>
      <c r="Q54" s="17">
        <f>MIN(1.25,O54*P54/90%)</f>
        <v/>
      </c>
    </row>
    <row r="55">
      <c r="A55" s="13" t="n">
        <v>50</v>
      </c>
      <c r="B55" s="14" t="inlineStr">
        <is>
          <t>AMIR HUSSAIN MUHAMMED</t>
        </is>
      </c>
      <c r="C55" s="14" t="inlineStr">
        <is>
          <t>MECHANIC</t>
        </is>
      </c>
      <c r="D55" s="14" t="inlineStr">
        <is>
          <t>TN0241</t>
        </is>
      </c>
      <c r="E55" s="13" t="n">
        <v>27</v>
      </c>
      <c r="F55" s="15">
        <f>E55*8</f>
        <v/>
      </c>
      <c r="G55" s="16" t="n">
        <v>0</v>
      </c>
      <c r="H55" s="15">
        <f>F55+G55</f>
        <v/>
      </c>
      <c r="I55" s="16" t="n">
        <v>196.54</v>
      </c>
      <c r="J55" s="17">
        <f>IFERROR(I55/H55,0)</f>
        <v/>
      </c>
      <c r="K55" s="17">
        <f>MAX(0,1-J55)</f>
        <v/>
      </c>
      <c r="L55" s="18" t="n">
        <v>16597.93</v>
      </c>
      <c r="M55" s="16" t="n">
        <v>196.54</v>
      </c>
      <c r="N55" s="15">
        <f>M55+E55*2</f>
        <v/>
      </c>
      <c r="O55" s="17">
        <f>MIN(1.25,J55+15%)</f>
        <v/>
      </c>
      <c r="P55" s="17">
        <f>J55</f>
        <v/>
      </c>
      <c r="Q55" s="17">
        <f>MIN(1.25,O55*P55/90%)</f>
        <v/>
      </c>
    </row>
    <row r="56">
      <c r="A56" s="13" t="n">
        <v>51</v>
      </c>
      <c r="B56" s="14" t="inlineStr">
        <is>
          <t>LUBAB UDDIN</t>
        </is>
      </c>
      <c r="C56" s="14" t="inlineStr">
        <is>
          <t>DENTER</t>
        </is>
      </c>
      <c r="D56" s="14" t="inlineStr">
        <is>
          <t>TN0242</t>
        </is>
      </c>
      <c r="E56" s="13" t="n">
        <v>24</v>
      </c>
      <c r="F56" s="15">
        <f>E56*8</f>
        <v/>
      </c>
      <c r="G56" s="16" t="n">
        <v>0</v>
      </c>
      <c r="H56" s="15">
        <f>F56+G56</f>
        <v/>
      </c>
      <c r="I56" s="16" t="n">
        <v>133.66</v>
      </c>
      <c r="J56" s="17">
        <f>IFERROR(I56/H56,0)</f>
        <v/>
      </c>
      <c r="K56" s="17">
        <f>MAX(0,1-J56)</f>
        <v/>
      </c>
      <c r="L56" s="18" t="n">
        <v>11352.47</v>
      </c>
      <c r="M56" s="16" t="n">
        <v>133.66</v>
      </c>
      <c r="N56" s="15">
        <f>M56+E56*2</f>
        <v/>
      </c>
      <c r="O56" s="17">
        <f>MIN(1.25,J56+15%)</f>
        <v/>
      </c>
      <c r="P56" s="17">
        <f>J56</f>
        <v/>
      </c>
      <c r="Q56" s="17">
        <f>MIN(1.25,O56*P56/90%)</f>
        <v/>
      </c>
    </row>
    <row r="57">
      <c r="A57" s="13" t="n">
        <v>52</v>
      </c>
      <c r="B57" s="14" t="inlineStr">
        <is>
          <t>MOHAMMED ALI</t>
        </is>
      </c>
      <c r="C57" s="14" t="inlineStr">
        <is>
          <t>DENTER</t>
        </is>
      </c>
      <c r="D57" s="14" t="inlineStr">
        <is>
          <t>TN0244</t>
        </is>
      </c>
      <c r="E57" s="13" t="n">
        <v>26</v>
      </c>
      <c r="F57" s="15">
        <f>E57*8</f>
        <v/>
      </c>
      <c r="G57" s="16" t="n">
        <v>0</v>
      </c>
      <c r="H57" s="15">
        <f>F57+G57</f>
        <v/>
      </c>
      <c r="I57" s="16" t="n">
        <v>155.56</v>
      </c>
      <c r="J57" s="17">
        <f>IFERROR(I57/H57,0)</f>
        <v/>
      </c>
      <c r="K57" s="17">
        <f>MAX(0,1-J57)</f>
        <v/>
      </c>
      <c r="L57" s="18" t="n">
        <v>13328.5</v>
      </c>
      <c r="M57" s="16" t="n">
        <v>155.56</v>
      </c>
      <c r="N57" s="15">
        <f>M57+E57*2</f>
        <v/>
      </c>
      <c r="O57" s="17">
        <f>MIN(1.25,J57+15%)</f>
        <v/>
      </c>
      <c r="P57" s="17">
        <f>J57</f>
        <v/>
      </c>
      <c r="Q57" s="17">
        <f>MIN(1.25,O57*P57/90%)</f>
        <v/>
      </c>
    </row>
    <row r="58">
      <c r="A58" s="13" t="n">
        <v>53</v>
      </c>
      <c r="B58" s="14" t="inlineStr">
        <is>
          <t>MAHMOUD MOHAMED MAHDY</t>
        </is>
      </c>
      <c r="C58" s="14" t="inlineStr">
        <is>
          <t>DENTER</t>
        </is>
      </c>
      <c r="D58" s="14" t="inlineStr">
        <is>
          <t>TN0245</t>
        </is>
      </c>
      <c r="E58" s="13" t="n">
        <v>26</v>
      </c>
      <c r="F58" s="15">
        <f>E58*8</f>
        <v/>
      </c>
      <c r="G58" s="16" t="n">
        <v>0</v>
      </c>
      <c r="H58" s="15">
        <f>F58+G58</f>
        <v/>
      </c>
      <c r="I58" s="16" t="n">
        <v>149.65</v>
      </c>
      <c r="J58" s="17">
        <f>IFERROR(I58/H58,0)</f>
        <v/>
      </c>
      <c r="K58" s="17">
        <f>MAX(0,1-J58)</f>
        <v/>
      </c>
      <c r="L58" s="18" t="n">
        <v>12498.87</v>
      </c>
      <c r="M58" s="16" t="n">
        <v>149.65</v>
      </c>
      <c r="N58" s="15">
        <f>M58+E58*2</f>
        <v/>
      </c>
      <c r="O58" s="17">
        <f>MIN(1.25,J58+15%)</f>
        <v/>
      </c>
      <c r="P58" s="17">
        <f>J58</f>
        <v/>
      </c>
      <c r="Q58" s="17">
        <f>MIN(1.25,O58*P58/90%)</f>
        <v/>
      </c>
    </row>
    <row r="59">
      <c r="A59" s="13" t="n">
        <v>54</v>
      </c>
      <c r="B59" s="14" t="inlineStr">
        <is>
          <t>DIN DAYAL</t>
        </is>
      </c>
      <c r="C59" s="14" t="inlineStr">
        <is>
          <t>ELECTRICIAN</t>
        </is>
      </c>
      <c r="D59" s="14" t="inlineStr">
        <is>
          <t>TN0247</t>
        </is>
      </c>
      <c r="E59" s="13" t="n">
        <v>26</v>
      </c>
      <c r="F59" s="15">
        <f>E59*8</f>
        <v/>
      </c>
      <c r="G59" s="16" t="n">
        <v>1</v>
      </c>
      <c r="H59" s="15">
        <f>F59+G59</f>
        <v/>
      </c>
      <c r="I59" s="16" t="n">
        <v>95.31</v>
      </c>
      <c r="J59" s="17">
        <f>IFERROR(I59/H59,0)</f>
        <v/>
      </c>
      <c r="K59" s="17">
        <f>MAX(0,1-J59)</f>
        <v/>
      </c>
      <c r="L59" s="18" t="n">
        <v>8248.34</v>
      </c>
      <c r="M59" s="16" t="n">
        <v>95.31</v>
      </c>
      <c r="N59" s="15">
        <f>M59+E59*2</f>
        <v/>
      </c>
      <c r="O59" s="17">
        <f>MIN(1.25,J59+15%)</f>
        <v/>
      </c>
      <c r="P59" s="17">
        <f>J59</f>
        <v/>
      </c>
      <c r="Q59" s="17">
        <f>MIN(1.25,O59*P59/90%)</f>
        <v/>
      </c>
    </row>
    <row r="60">
      <c r="A60" s="13" t="n">
        <v>55</v>
      </c>
      <c r="B60" s="14" t="inlineStr">
        <is>
          <t>KAMAL HUSSAIN</t>
        </is>
      </c>
      <c r="C60" s="14" t="inlineStr">
        <is>
          <t>MECHANIC</t>
        </is>
      </c>
      <c r="D60" s="14" t="inlineStr">
        <is>
          <t>TN0248</t>
        </is>
      </c>
      <c r="E60" s="13" t="n">
        <v>27</v>
      </c>
      <c r="F60" s="15">
        <f>E60*8</f>
        <v/>
      </c>
      <c r="G60" s="16" t="n">
        <v>2</v>
      </c>
      <c r="H60" s="15">
        <f>F60+G60</f>
        <v/>
      </c>
      <c r="I60" s="16" t="n">
        <v>184.38</v>
      </c>
      <c r="J60" s="17">
        <f>IFERROR(I60/H60,0)</f>
        <v/>
      </c>
      <c r="K60" s="17">
        <f>MAX(0,1-J60)</f>
        <v/>
      </c>
      <c r="L60" s="18" t="n">
        <v>15810.02</v>
      </c>
      <c r="M60" s="16" t="n">
        <v>184.38</v>
      </c>
      <c r="N60" s="15">
        <f>M60+E60*2</f>
        <v/>
      </c>
      <c r="O60" s="17">
        <f>MIN(1.25,J60+15%)</f>
        <v/>
      </c>
      <c r="P60" s="17">
        <f>J60</f>
        <v/>
      </c>
      <c r="Q60" s="17">
        <f>MIN(1.25,O60*P60/90%)</f>
        <v/>
      </c>
    </row>
    <row r="61">
      <c r="A61" s="13" t="n">
        <v>56</v>
      </c>
      <c r="B61" s="14" t="inlineStr">
        <is>
          <t>RAIS MUHAMMAD KHAN YAR</t>
        </is>
      </c>
      <c r="C61" s="14" t="inlineStr">
        <is>
          <t>PAINTER</t>
        </is>
      </c>
      <c r="D61" s="14" t="inlineStr">
        <is>
          <t>TN0250</t>
        </is>
      </c>
      <c r="E61" s="13" t="n">
        <v>13</v>
      </c>
      <c r="F61" s="15">
        <f>E61*8</f>
        <v/>
      </c>
      <c r="G61" s="16" t="n">
        <v>0</v>
      </c>
      <c r="H61" s="15">
        <f>F61+G61</f>
        <v/>
      </c>
      <c r="I61" s="16" t="n">
        <v>67.48</v>
      </c>
      <c r="J61" s="17">
        <f>IFERROR(I61/H61,0)</f>
        <v/>
      </c>
      <c r="K61" s="17">
        <f>MAX(0,1-J61)</f>
        <v/>
      </c>
      <c r="L61" s="18" t="n">
        <v>5812.37</v>
      </c>
      <c r="M61" s="16" t="n">
        <v>67.48</v>
      </c>
      <c r="N61" s="15">
        <f>M61+E61*2</f>
        <v/>
      </c>
      <c r="O61" s="17">
        <f>MIN(1.25,J61+15%)</f>
        <v/>
      </c>
      <c r="P61" s="17">
        <f>J61</f>
        <v/>
      </c>
      <c r="Q61" s="17">
        <f>MIN(1.25,O61*P61/90%)</f>
        <v/>
      </c>
    </row>
    <row r="62">
      <c r="A62" s="13" t="n">
        <v>57</v>
      </c>
      <c r="B62" s="14" t="inlineStr">
        <is>
          <t>RAJEEVAN</t>
        </is>
      </c>
      <c r="C62" s="14" t="inlineStr">
        <is>
          <t>PAINTER</t>
        </is>
      </c>
      <c r="D62" s="14" t="inlineStr">
        <is>
          <t>TN0251</t>
        </is>
      </c>
      <c r="E62" s="13" t="n">
        <v>27</v>
      </c>
      <c r="F62" s="15">
        <f>E62*8</f>
        <v/>
      </c>
      <c r="G62" s="16" t="n">
        <v>2</v>
      </c>
      <c r="H62" s="15">
        <f>F62+G62</f>
        <v/>
      </c>
      <c r="I62" s="16" t="n">
        <v>190.59</v>
      </c>
      <c r="J62" s="17">
        <f>IFERROR(I62/H62,0)</f>
        <v/>
      </c>
      <c r="K62" s="17">
        <f>MAX(0,1-J62)</f>
        <v/>
      </c>
      <c r="L62" s="18" t="n">
        <v>16285.1</v>
      </c>
      <c r="M62" s="16" t="n">
        <v>190.59</v>
      </c>
      <c r="N62" s="15">
        <f>M62+E62*2</f>
        <v/>
      </c>
      <c r="O62" s="17">
        <f>MIN(1.25,J62+15%)</f>
        <v/>
      </c>
      <c r="P62" s="17">
        <f>J62</f>
        <v/>
      </c>
      <c r="Q62" s="17">
        <f>MIN(1.25,O62*P62/90%)</f>
        <v/>
      </c>
    </row>
    <row r="63">
      <c r="A63" s="13" t="n">
        <v>58</v>
      </c>
      <c r="B63" s="14" t="inlineStr">
        <is>
          <t>MOHAMMED NISAR BHURE</t>
        </is>
      </c>
      <c r="C63" s="14" t="inlineStr">
        <is>
          <t>MECHANIC</t>
        </is>
      </c>
      <c r="D63" s="14" t="inlineStr">
        <is>
          <t>TN0252</t>
        </is>
      </c>
      <c r="E63" s="13" t="n">
        <v>25</v>
      </c>
      <c r="F63" s="15">
        <f>E63*8</f>
        <v/>
      </c>
      <c r="G63" s="16" t="n">
        <v>4</v>
      </c>
      <c r="H63" s="15">
        <f>F63+G63</f>
        <v/>
      </c>
      <c r="I63" s="16" t="n">
        <v>115.4</v>
      </c>
      <c r="J63" s="17">
        <f>IFERROR(I63/H63,0)</f>
        <v/>
      </c>
      <c r="K63" s="17">
        <f>MAX(0,1-J63)</f>
        <v/>
      </c>
      <c r="L63" s="18" t="n">
        <v>9592.99</v>
      </c>
      <c r="M63" s="16" t="n">
        <v>115.4</v>
      </c>
      <c r="N63" s="15">
        <f>M63+E63*2</f>
        <v/>
      </c>
      <c r="O63" s="17">
        <f>MIN(1.25,J63+15%)</f>
        <v/>
      </c>
      <c r="P63" s="17">
        <f>J63</f>
        <v/>
      </c>
      <c r="Q63" s="17">
        <f>MIN(1.25,O63*P63/90%)</f>
        <v/>
      </c>
    </row>
    <row r="64">
      <c r="A64" s="13" t="n">
        <v>59</v>
      </c>
      <c r="B64" s="14" t="inlineStr">
        <is>
          <t>MOHAMMED NISAR BHURE</t>
        </is>
      </c>
      <c r="C64" s="14" t="inlineStr">
        <is>
          <t>MECHANIC</t>
        </is>
      </c>
      <c r="D64" s="14" t="inlineStr">
        <is>
          <t>TN0252</t>
        </is>
      </c>
      <c r="E64" s="13" t="n">
        <v>4</v>
      </c>
      <c r="F64" s="15">
        <f>E64*8</f>
        <v/>
      </c>
      <c r="G64" s="16" t="n">
        <v>0</v>
      </c>
      <c r="H64" s="15">
        <f>F64+G64</f>
        <v/>
      </c>
      <c r="I64" s="16" t="n">
        <v>20.46</v>
      </c>
      <c r="J64" s="17">
        <f>IFERROR(I64/H64,0)</f>
        <v/>
      </c>
      <c r="K64" s="17">
        <f>MAX(0,1-J64)</f>
        <v/>
      </c>
      <c r="L64" s="18" t="n">
        <v>1758.5</v>
      </c>
      <c r="M64" s="16" t="n">
        <v>20.46</v>
      </c>
      <c r="N64" s="15">
        <f>M64+E64*2</f>
        <v/>
      </c>
      <c r="O64" s="17">
        <f>MIN(1.25,J64+15%)</f>
        <v/>
      </c>
      <c r="P64" s="17">
        <f>J64</f>
        <v/>
      </c>
      <c r="Q64" s="17">
        <f>MIN(1.25,O64*P64/90%)</f>
        <v/>
      </c>
    </row>
    <row r="65">
      <c r="A65" s="13" t="n">
        <v>60</v>
      </c>
      <c r="B65" s="14" t="inlineStr">
        <is>
          <t>VINODKUMAR KIZHAKKEPURA</t>
        </is>
      </c>
      <c r="C65" s="14" t="inlineStr">
        <is>
          <t>MECHANIC</t>
        </is>
      </c>
      <c r="D65" s="14" t="inlineStr">
        <is>
          <t>TN0253</t>
        </is>
      </c>
      <c r="E65" s="13" t="n">
        <v>19</v>
      </c>
      <c r="F65" s="15">
        <f>E65*8</f>
        <v/>
      </c>
      <c r="G65" s="16" t="n">
        <v>2</v>
      </c>
      <c r="H65" s="15">
        <f>F65+G65</f>
        <v/>
      </c>
      <c r="I65" s="16" t="n">
        <v>84.94</v>
      </c>
      <c r="J65" s="17">
        <f>IFERROR(I65/H65,0)</f>
        <v/>
      </c>
      <c r="K65" s="17">
        <f>MAX(0,1-J65)</f>
        <v/>
      </c>
      <c r="L65" s="18" t="n">
        <v>7048.49</v>
      </c>
      <c r="M65" s="16" t="n">
        <v>84.94</v>
      </c>
      <c r="N65" s="15">
        <f>M65+E65*2</f>
        <v/>
      </c>
      <c r="O65" s="17">
        <f>MIN(1.25,J65+15%)</f>
        <v/>
      </c>
      <c r="P65" s="17">
        <f>J65</f>
        <v/>
      </c>
      <c r="Q65" s="17">
        <f>MIN(1.25,O65*P65/90%)</f>
        <v/>
      </c>
    </row>
    <row r="66">
      <c r="A66" s="13" t="n">
        <v>61</v>
      </c>
      <c r="B66" s="14" t="inlineStr">
        <is>
          <t>ABU BAKAR SIDDIQ TAJ MUHA</t>
        </is>
      </c>
      <c r="C66" s="14" t="inlineStr">
        <is>
          <t>PAINTER</t>
        </is>
      </c>
      <c r="D66" s="14" t="inlineStr">
        <is>
          <t>TN0254</t>
        </is>
      </c>
      <c r="E66" s="13" t="n">
        <v>21</v>
      </c>
      <c r="F66" s="15">
        <f>E66*8</f>
        <v/>
      </c>
      <c r="G66" s="16" t="n">
        <v>2</v>
      </c>
      <c r="H66" s="15">
        <f>F66+G66</f>
        <v/>
      </c>
      <c r="I66" s="16" t="n">
        <v>111.68</v>
      </c>
      <c r="J66" s="17">
        <f>IFERROR(I66/H66,0)</f>
        <v/>
      </c>
      <c r="K66" s="17">
        <f>MAX(0,1-J66)</f>
        <v/>
      </c>
      <c r="L66" s="18" t="n">
        <v>9697.940000000001</v>
      </c>
      <c r="M66" s="16" t="n">
        <v>111.68</v>
      </c>
      <c r="N66" s="15">
        <f>M66+E66*2</f>
        <v/>
      </c>
      <c r="O66" s="17">
        <f>MIN(1.25,J66+15%)</f>
        <v/>
      </c>
      <c r="P66" s="17">
        <f>J66</f>
        <v/>
      </c>
      <c r="Q66" s="17">
        <f>MIN(1.25,O66*P66/90%)</f>
        <v/>
      </c>
    </row>
    <row r="67">
      <c r="A67" s="13" t="n">
        <v>62</v>
      </c>
      <c r="B67" s="14" t="inlineStr">
        <is>
          <t>ABU BAKAR SIDDIQ TAJ MUHA</t>
        </is>
      </c>
      <c r="C67" s="14" t="inlineStr">
        <is>
          <t>PAINTER</t>
        </is>
      </c>
      <c r="D67" s="14" t="inlineStr">
        <is>
          <t>TN0254</t>
        </is>
      </c>
      <c r="E67" s="13" t="n">
        <v>4</v>
      </c>
      <c r="F67" s="15">
        <f>E67*8</f>
        <v/>
      </c>
      <c r="G67" s="16" t="n">
        <v>0</v>
      </c>
      <c r="H67" s="15">
        <f>F67+G67</f>
        <v/>
      </c>
      <c r="I67" s="16" t="n">
        <v>15.74</v>
      </c>
      <c r="J67" s="17">
        <f>IFERROR(I67/H67,0)</f>
        <v/>
      </c>
      <c r="K67" s="17">
        <f>MAX(0,1-J67)</f>
        <v/>
      </c>
      <c r="L67" s="18" t="n">
        <v>1312.75</v>
      </c>
      <c r="M67" s="16" t="n">
        <v>15.74</v>
      </c>
      <c r="N67" s="15">
        <f>M67+E67*2</f>
        <v/>
      </c>
      <c r="O67" s="17">
        <f>MIN(1.25,J67+15%)</f>
        <v/>
      </c>
      <c r="P67" s="17">
        <f>J67</f>
        <v/>
      </c>
      <c r="Q67" s="17">
        <f>MIN(1.25,O67*P67/90%)</f>
        <v/>
      </c>
    </row>
    <row r="68">
      <c r="A68" s="13" t="n">
        <v>63</v>
      </c>
      <c r="B68" s="14" t="inlineStr">
        <is>
          <t>SAMUEL OFORI</t>
        </is>
      </c>
      <c r="C68" s="14" t="inlineStr">
        <is>
          <t>MECHANIC</t>
        </is>
      </c>
      <c r="D68" s="14" t="inlineStr">
        <is>
          <t>TN0256</t>
        </is>
      </c>
      <c r="E68" s="13" t="n">
        <v>27</v>
      </c>
      <c r="F68" s="15">
        <f>E68*8</f>
        <v/>
      </c>
      <c r="G68" s="16" t="n">
        <v>0</v>
      </c>
      <c r="H68" s="15">
        <f>F68+G68</f>
        <v/>
      </c>
      <c r="I68" s="16" t="n">
        <v>154.12</v>
      </c>
      <c r="J68" s="17">
        <f>IFERROR(I68/H68,0)</f>
        <v/>
      </c>
      <c r="K68" s="17">
        <f>MAX(0,1-J68)</f>
        <v/>
      </c>
      <c r="L68" s="18" t="n">
        <v>12789.87</v>
      </c>
      <c r="M68" s="16" t="n">
        <v>154.12</v>
      </c>
      <c r="N68" s="15">
        <f>M68+E68*2</f>
        <v/>
      </c>
      <c r="O68" s="17">
        <f>MIN(1.25,J68+15%)</f>
        <v/>
      </c>
      <c r="P68" s="17">
        <f>J68</f>
        <v/>
      </c>
      <c r="Q68" s="17">
        <f>MIN(1.25,O68*P68/90%)</f>
        <v/>
      </c>
    </row>
    <row r="69">
      <c r="A69" s="13" t="n">
        <v>64</v>
      </c>
      <c r="B69" s="14" t="inlineStr">
        <is>
          <t>SHAJADA ALI SHAIKH</t>
        </is>
      </c>
      <c r="C69" s="14" t="inlineStr">
        <is>
          <t>MECHANIC</t>
        </is>
      </c>
      <c r="D69" s="14" t="inlineStr">
        <is>
          <t>TN0257</t>
        </is>
      </c>
      <c r="E69" s="13" t="n">
        <v>27</v>
      </c>
      <c r="F69" s="15">
        <f>E69*8</f>
        <v/>
      </c>
      <c r="G69" s="16" t="n">
        <v>1</v>
      </c>
      <c r="H69" s="15">
        <f>F69+G69</f>
        <v/>
      </c>
      <c r="I69" s="16" t="n">
        <v>200.77</v>
      </c>
      <c r="J69" s="17">
        <f>IFERROR(I69/H69,0)</f>
        <v/>
      </c>
      <c r="K69" s="17">
        <f>MAX(0,1-J69)</f>
        <v/>
      </c>
      <c r="L69" s="18" t="n">
        <v>16708.76</v>
      </c>
      <c r="M69" s="16" t="n">
        <v>200.77</v>
      </c>
      <c r="N69" s="15">
        <f>M69+E69*2</f>
        <v/>
      </c>
      <c r="O69" s="17">
        <f>MIN(1.25,J69+15%)</f>
        <v/>
      </c>
      <c r="P69" s="17">
        <f>J69</f>
        <v/>
      </c>
      <c r="Q69" s="17">
        <f>MIN(1.25,O69*P69/90%)</f>
        <v/>
      </c>
    </row>
    <row r="70">
      <c r="A70" s="13" t="n">
        <v>65</v>
      </c>
      <c r="B70" s="14" t="inlineStr">
        <is>
          <t>ABDULLAH NABEEL BUTT MAN</t>
        </is>
      </c>
      <c r="C70" s="14" t="inlineStr">
        <is>
          <t>ELECTRICIAN</t>
        </is>
      </c>
      <c r="D70" s="14" t="inlineStr">
        <is>
          <t>TN0258</t>
        </is>
      </c>
      <c r="E70" s="13" t="n">
        <v>26</v>
      </c>
      <c r="F70" s="15">
        <f>E70*8</f>
        <v/>
      </c>
      <c r="G70" s="16" t="n">
        <v>0</v>
      </c>
      <c r="H70" s="15">
        <f>F70+G70</f>
        <v/>
      </c>
      <c r="I70" s="16" t="n">
        <v>106.71</v>
      </c>
      <c r="J70" s="17">
        <f>IFERROR(I70/H70,0)</f>
        <v/>
      </c>
      <c r="K70" s="17">
        <f>MAX(0,1-J70)</f>
        <v/>
      </c>
      <c r="L70" s="18" t="n">
        <v>9208.5</v>
      </c>
      <c r="M70" s="16" t="n">
        <v>106.71</v>
      </c>
      <c r="N70" s="15">
        <f>M70+E70*2</f>
        <v/>
      </c>
      <c r="O70" s="17">
        <f>MIN(1.25,J70+15%)</f>
        <v/>
      </c>
      <c r="P70" s="17">
        <f>J70</f>
        <v/>
      </c>
      <c r="Q70" s="17">
        <f>MIN(1.25,O70*P70/90%)</f>
        <v/>
      </c>
    </row>
    <row r="71">
      <c r="A71" s="13" t="n">
        <v>66</v>
      </c>
      <c r="B71" s="14" t="inlineStr">
        <is>
          <t>MOHAMMED AWAIS ASGHAR</t>
        </is>
      </c>
      <c r="C71" s="14" t="inlineStr">
        <is>
          <t>ELECTRICIAN</t>
        </is>
      </c>
      <c r="D71" s="14" t="inlineStr">
        <is>
          <t>TN0259</t>
        </is>
      </c>
      <c r="E71" s="13" t="n">
        <v>26</v>
      </c>
      <c r="F71" s="15">
        <f>E71*8</f>
        <v/>
      </c>
      <c r="G71" s="16" t="n">
        <v>4</v>
      </c>
      <c r="H71" s="15">
        <f>F71+G71</f>
        <v/>
      </c>
      <c r="I71" s="16" t="n">
        <v>159.86</v>
      </c>
      <c r="J71" s="17">
        <f>IFERROR(I71/H71,0)</f>
        <v/>
      </c>
      <c r="K71" s="17">
        <f>MAX(0,1-J71)</f>
        <v/>
      </c>
      <c r="L71" s="18" t="n">
        <v>13914.66</v>
      </c>
      <c r="M71" s="16" t="n">
        <v>159.86</v>
      </c>
      <c r="N71" s="15">
        <f>M71+E71*2</f>
        <v/>
      </c>
      <c r="O71" s="17">
        <f>MIN(1.25,J71+15%)</f>
        <v/>
      </c>
      <c r="P71" s="17">
        <f>J71</f>
        <v/>
      </c>
      <c r="Q71" s="17">
        <f>MIN(1.25,O71*P71/90%)</f>
        <v/>
      </c>
    </row>
    <row r="72">
      <c r="A72" s="13" t="n">
        <v>67</v>
      </c>
      <c r="B72" s="14" t="inlineStr">
        <is>
          <t>ANIS ALI MIR MIR IBRAB ALI</t>
        </is>
      </c>
      <c r="C72" s="14" t="inlineStr">
        <is>
          <t>MECHANIC</t>
        </is>
      </c>
      <c r="D72" s="14" t="inlineStr">
        <is>
          <t>TN0261</t>
        </is>
      </c>
      <c r="E72" s="13" t="n">
        <v>27</v>
      </c>
      <c r="F72" s="15">
        <f>E72*8</f>
        <v/>
      </c>
      <c r="G72" s="16" t="n">
        <v>4</v>
      </c>
      <c r="H72" s="15">
        <f>F72+G72</f>
        <v/>
      </c>
      <c r="I72" s="16" t="n">
        <v>158.33</v>
      </c>
      <c r="J72" s="17">
        <f>IFERROR(I72/H72,0)</f>
        <v/>
      </c>
      <c r="K72" s="17">
        <f>MAX(0,1-J72)</f>
        <v/>
      </c>
      <c r="L72" s="18" t="n">
        <v>13214.27</v>
      </c>
      <c r="M72" s="16" t="n">
        <v>158.33</v>
      </c>
      <c r="N72" s="15">
        <f>M72+E72*2</f>
        <v/>
      </c>
      <c r="O72" s="17">
        <f>MIN(1.25,J72+15%)</f>
        <v/>
      </c>
      <c r="P72" s="17">
        <f>J72</f>
        <v/>
      </c>
      <c r="Q72" s="17">
        <f>MIN(1.25,O72*P72/90%)</f>
        <v/>
      </c>
    </row>
    <row r="73">
      <c r="A73" s="13" t="n">
        <v>68</v>
      </c>
      <c r="B73" s="14" t="inlineStr">
        <is>
          <t>SABIR ALI MUHAMMAD ALI</t>
        </is>
      </c>
      <c r="C73" s="14" t="inlineStr">
        <is>
          <t>PAINTER</t>
        </is>
      </c>
      <c r="D73" s="14" t="inlineStr">
        <is>
          <t>TN0265</t>
        </is>
      </c>
      <c r="E73" s="13" t="n">
        <v>26</v>
      </c>
      <c r="F73" s="15">
        <f>E73*8</f>
        <v/>
      </c>
      <c r="G73" s="16" t="n">
        <v>0</v>
      </c>
      <c r="H73" s="15">
        <f>F73+G73</f>
        <v/>
      </c>
      <c r="I73" s="16" t="n">
        <v>161.16</v>
      </c>
      <c r="J73" s="17">
        <f>IFERROR(I73/H73,0)</f>
        <v/>
      </c>
      <c r="K73" s="17">
        <f>MAX(0,1-J73)</f>
        <v/>
      </c>
      <c r="L73" s="18" t="n">
        <v>13640.61</v>
      </c>
      <c r="M73" s="16" t="n">
        <v>161.16</v>
      </c>
      <c r="N73" s="15">
        <f>M73+E73*2</f>
        <v/>
      </c>
      <c r="O73" s="17">
        <f>MIN(1.25,J73+15%)</f>
        <v/>
      </c>
      <c r="P73" s="17">
        <f>J73</f>
        <v/>
      </c>
      <c r="Q73" s="17">
        <f>MIN(1.25,O73*P73/90%)</f>
        <v/>
      </c>
    </row>
    <row r="74">
      <c r="A74" s="13" t="n">
        <v>69</v>
      </c>
      <c r="B74" s="14" t="inlineStr">
        <is>
          <t>ARISTOTE TSOPKENG LEWEPO</t>
        </is>
      </c>
      <c r="C74" s="14" t="inlineStr">
        <is>
          <t>MECHANIC</t>
        </is>
      </c>
      <c r="D74" s="14" t="inlineStr">
        <is>
          <t>TN0266</t>
        </is>
      </c>
      <c r="E74" s="13" t="n">
        <v>25</v>
      </c>
      <c r="F74" s="15">
        <f>E74*8</f>
        <v/>
      </c>
      <c r="G74" s="16" t="n">
        <v>1</v>
      </c>
      <c r="H74" s="15">
        <f>F74+G74</f>
        <v/>
      </c>
      <c r="I74" s="16" t="n">
        <v>139.33</v>
      </c>
      <c r="J74" s="17">
        <f>IFERROR(I74/H74,0)</f>
        <v/>
      </c>
      <c r="K74" s="17">
        <f>MAX(0,1-J74)</f>
        <v/>
      </c>
      <c r="L74" s="18" t="n">
        <v>11565.15</v>
      </c>
      <c r="M74" s="16" t="n">
        <v>139.33</v>
      </c>
      <c r="N74" s="15">
        <f>M74+E74*2</f>
        <v/>
      </c>
      <c r="O74" s="17">
        <f>MIN(1.25,J74+15%)</f>
        <v/>
      </c>
      <c r="P74" s="17">
        <f>J74</f>
        <v/>
      </c>
      <c r="Q74" s="17">
        <f>MIN(1.25,O74*P74/90%)</f>
        <v/>
      </c>
    </row>
    <row r="75">
      <c r="A75" s="13" t="n">
        <v>70</v>
      </c>
      <c r="B75" s="14" t="inlineStr">
        <is>
          <t>ALAM ZEB KHAN</t>
        </is>
      </c>
      <c r="C75" s="14" t="inlineStr">
        <is>
          <t>MECHANIC</t>
        </is>
      </c>
      <c r="D75" s="14" t="inlineStr">
        <is>
          <t>TN0268</t>
        </is>
      </c>
      <c r="E75" s="13" t="n">
        <v>27</v>
      </c>
      <c r="F75" s="15">
        <f>E75*8</f>
        <v/>
      </c>
      <c r="G75" s="16" t="n">
        <v>2</v>
      </c>
      <c r="H75" s="15">
        <f>F75+G75</f>
        <v/>
      </c>
      <c r="I75" s="16" t="n">
        <v>119.22</v>
      </c>
      <c r="J75" s="17">
        <f>IFERROR(I75/H75,0)</f>
        <v/>
      </c>
      <c r="K75" s="17">
        <f>MAX(0,1-J75)</f>
        <v/>
      </c>
      <c r="L75" s="18" t="n">
        <v>10132.33</v>
      </c>
      <c r="M75" s="16" t="n">
        <v>119.22</v>
      </c>
      <c r="N75" s="15">
        <f>M75+E75*2</f>
        <v/>
      </c>
      <c r="O75" s="17">
        <f>MIN(1.25,J75+15%)</f>
        <v/>
      </c>
      <c r="P75" s="17">
        <f>J75</f>
        <v/>
      </c>
      <c r="Q75" s="17">
        <f>MIN(1.25,O75*P75/90%)</f>
        <v/>
      </c>
    </row>
    <row r="76">
      <c r="A76" s="13" t="n">
        <v>71</v>
      </c>
      <c r="B76" s="14" t="inlineStr">
        <is>
          <t>Abdulla shekh</t>
        </is>
      </c>
      <c r="C76" s="14" t="inlineStr">
        <is>
          <t>PAINTER</t>
        </is>
      </c>
      <c r="D76" s="14" t="inlineStr">
        <is>
          <t>TN0269</t>
        </is>
      </c>
      <c r="E76" s="13" t="n">
        <v>25</v>
      </c>
      <c r="F76" s="15">
        <f>E76*8</f>
        <v/>
      </c>
      <c r="G76" s="16" t="n">
        <v>0</v>
      </c>
      <c r="H76" s="15">
        <f>F76+G76</f>
        <v/>
      </c>
      <c r="I76" s="16" t="n">
        <v>173.12</v>
      </c>
      <c r="J76" s="17">
        <f>IFERROR(I76/H76,0)</f>
        <v/>
      </c>
      <c r="K76" s="17">
        <f>MAX(0,1-J76)</f>
        <v/>
      </c>
      <c r="L76" s="18" t="n">
        <v>14530.71</v>
      </c>
      <c r="M76" s="16" t="n">
        <v>173.12</v>
      </c>
      <c r="N76" s="15">
        <f>M76+E76*2</f>
        <v/>
      </c>
      <c r="O76" s="17">
        <f>MIN(1.25,J76+15%)</f>
        <v/>
      </c>
      <c r="P76" s="17">
        <f>J76</f>
        <v/>
      </c>
      <c r="Q76" s="17">
        <f>MIN(1.25,O76*P76/90%)</f>
        <v/>
      </c>
    </row>
    <row r="77">
      <c r="A77" s="13" t="n">
        <v>72</v>
      </c>
      <c r="B77" s="14" t="inlineStr">
        <is>
          <t>Abdel Rahman</t>
        </is>
      </c>
      <c r="C77" s="14" t="inlineStr">
        <is>
          <t>PAINTER</t>
        </is>
      </c>
      <c r="D77" s="14" t="inlineStr">
        <is>
          <t>TN0270</t>
        </is>
      </c>
      <c r="E77" s="13" t="n">
        <v>26</v>
      </c>
      <c r="F77" s="15">
        <f>E77*8</f>
        <v/>
      </c>
      <c r="G77" s="16" t="n">
        <v>4</v>
      </c>
      <c r="H77" s="15">
        <f>F77+G77</f>
        <v/>
      </c>
      <c r="I77" s="16" t="n">
        <v>164.77</v>
      </c>
      <c r="J77" s="17">
        <f>IFERROR(I77/H77,0)</f>
        <v/>
      </c>
      <c r="K77" s="17">
        <f>MAX(0,1-J77)</f>
        <v/>
      </c>
      <c r="L77" s="18" t="n">
        <v>14062.06</v>
      </c>
      <c r="M77" s="16" t="n">
        <v>164.77</v>
      </c>
      <c r="N77" s="15">
        <f>M77+E77*2</f>
        <v/>
      </c>
      <c r="O77" s="17">
        <f>MIN(1.25,J77+15%)</f>
        <v/>
      </c>
      <c r="P77" s="17">
        <f>J77</f>
        <v/>
      </c>
      <c r="Q77" s="17">
        <f>MIN(1.25,O77*P77/90%)</f>
        <v/>
      </c>
    </row>
    <row r="78">
      <c r="A78" s="13" t="n">
        <v>73</v>
      </c>
      <c r="B78" s="14" t="inlineStr">
        <is>
          <t>RENJITH RADHAKRISHNAN NA</t>
        </is>
      </c>
      <c r="C78" s="14" t="inlineStr">
        <is>
          <t>PAINTER</t>
        </is>
      </c>
      <c r="D78" s="14" t="inlineStr">
        <is>
          <t>TN0272</t>
        </is>
      </c>
      <c r="E78" s="13" t="n">
        <v>10</v>
      </c>
      <c r="F78" s="15">
        <f>E78*8</f>
        <v/>
      </c>
      <c r="G78" s="16" t="n">
        <v>0</v>
      </c>
      <c r="H78" s="15">
        <f>F78+G78</f>
        <v/>
      </c>
      <c r="I78" s="16" t="n">
        <v>57.31</v>
      </c>
      <c r="J78" s="17">
        <f>IFERROR(I78/H78,0)</f>
        <v/>
      </c>
      <c r="K78" s="17">
        <f>MAX(0,1-J78)</f>
        <v/>
      </c>
      <c r="L78" s="18" t="n">
        <v>4992.17</v>
      </c>
      <c r="M78" s="16" t="n">
        <v>57.31</v>
      </c>
      <c r="N78" s="15">
        <f>M78+E78*2</f>
        <v/>
      </c>
      <c r="O78" s="17">
        <f>MIN(1.25,J78+15%)</f>
        <v/>
      </c>
      <c r="P78" s="17">
        <f>J78</f>
        <v/>
      </c>
      <c r="Q78" s="17">
        <f>MIN(1.25,O78*P78/90%)</f>
        <v/>
      </c>
    </row>
    <row r="79">
      <c r="A79" s="13" t="n">
        <v>74</v>
      </c>
      <c r="B79" s="14" t="inlineStr">
        <is>
          <t>RENJITH RADHAKRISHNAN NA</t>
        </is>
      </c>
      <c r="C79" s="14" t="inlineStr">
        <is>
          <t>PAINTER</t>
        </is>
      </c>
      <c r="D79" s="14" t="inlineStr">
        <is>
          <t>TN0272</t>
        </is>
      </c>
      <c r="E79" s="13" t="n">
        <v>8</v>
      </c>
      <c r="F79" s="15">
        <f>E79*8</f>
        <v/>
      </c>
      <c r="G79" s="16" t="n">
        <v>0</v>
      </c>
      <c r="H79" s="15">
        <f>F79+G79</f>
        <v/>
      </c>
      <c r="I79" s="16" t="n">
        <v>48.87</v>
      </c>
      <c r="J79" s="17">
        <f>IFERROR(I79/H79,0)</f>
        <v/>
      </c>
      <c r="K79" s="17">
        <f>MAX(0,1-J79)</f>
        <v/>
      </c>
      <c r="L79" s="18" t="n">
        <v>4221.35</v>
      </c>
      <c r="M79" s="16" t="n">
        <v>48.87</v>
      </c>
      <c r="N79" s="15">
        <f>M79+E79*2</f>
        <v/>
      </c>
      <c r="O79" s="17">
        <f>MIN(1.25,J79+15%)</f>
        <v/>
      </c>
      <c r="P79" s="17">
        <f>J79</f>
        <v/>
      </c>
      <c r="Q79" s="17">
        <f>MIN(1.25,O79*P79/90%)</f>
        <v/>
      </c>
    </row>
    <row r="80">
      <c r="A80" s="13" t="n">
        <v>75</v>
      </c>
      <c r="B80" s="14" t="inlineStr">
        <is>
          <t>AHID SHAIKH SHAIKH</t>
        </is>
      </c>
      <c r="C80" s="14" t="inlineStr">
        <is>
          <t>PAINTER</t>
        </is>
      </c>
      <c r="D80" s="14" t="inlineStr">
        <is>
          <t>TN0273</t>
        </is>
      </c>
      <c r="E80" s="13" t="n">
        <v>23</v>
      </c>
      <c r="F80" s="15">
        <f>E80*8</f>
        <v/>
      </c>
      <c r="G80" s="16" t="n">
        <v>2</v>
      </c>
      <c r="H80" s="15">
        <f>F80+G80</f>
        <v/>
      </c>
      <c r="I80" s="16" t="n">
        <v>133.26</v>
      </c>
      <c r="J80" s="17">
        <f>IFERROR(I80/H80,0)</f>
        <v/>
      </c>
      <c r="K80" s="17">
        <f>MAX(0,1-J80)</f>
        <v/>
      </c>
      <c r="L80" s="18" t="n">
        <v>11482.22</v>
      </c>
      <c r="M80" s="16" t="n">
        <v>133.26</v>
      </c>
      <c r="N80" s="15">
        <f>M80+E80*2</f>
        <v/>
      </c>
      <c r="O80" s="17">
        <f>MIN(1.25,J80+15%)</f>
        <v/>
      </c>
      <c r="P80" s="17">
        <f>J80</f>
        <v/>
      </c>
      <c r="Q80" s="17">
        <f>MIN(1.25,O80*P80/90%)</f>
        <v/>
      </c>
    </row>
    <row r="81">
      <c r="A81" s="13" t="n">
        <v>76</v>
      </c>
      <c r="B81" s="14" t="inlineStr">
        <is>
          <t>IBRAHIM KHAN</t>
        </is>
      </c>
      <c r="C81" s="14" t="inlineStr">
        <is>
          <t>DENTER</t>
        </is>
      </c>
      <c r="D81" s="14" t="inlineStr">
        <is>
          <t>TN0274</t>
        </is>
      </c>
      <c r="E81" s="13" t="n">
        <v>22</v>
      </c>
      <c r="F81" s="15">
        <f>E81*8</f>
        <v/>
      </c>
      <c r="G81" s="16" t="n">
        <v>1</v>
      </c>
      <c r="H81" s="15">
        <f>F81+G81</f>
        <v/>
      </c>
      <c r="I81" s="16" t="n">
        <v>122.77</v>
      </c>
      <c r="J81" s="17">
        <f>IFERROR(I81/H81,0)</f>
        <v/>
      </c>
      <c r="K81" s="17">
        <f>MAX(0,1-J81)</f>
        <v/>
      </c>
      <c r="L81" s="18" t="n">
        <v>10249</v>
      </c>
      <c r="M81" s="16" t="n">
        <v>122.77</v>
      </c>
      <c r="N81" s="15">
        <f>M81+E81*2</f>
        <v/>
      </c>
      <c r="O81" s="17">
        <f>MIN(1.25,J81+15%)</f>
        <v/>
      </c>
      <c r="P81" s="17">
        <f>J81</f>
        <v/>
      </c>
      <c r="Q81" s="17">
        <f>MIN(1.25,O81*P81/90%)</f>
        <v/>
      </c>
    </row>
    <row r="82">
      <c r="A82" s="13" t="n">
        <v>77</v>
      </c>
      <c r="B82" s="14" t="inlineStr">
        <is>
          <t>MUHAMMED SUFIAN QURESHI</t>
        </is>
      </c>
      <c r="C82" s="14" t="inlineStr">
        <is>
          <t>DENTER</t>
        </is>
      </c>
      <c r="D82" s="14" t="inlineStr">
        <is>
          <t>TN0275</t>
        </is>
      </c>
      <c r="E82" s="13" t="n">
        <v>27</v>
      </c>
      <c r="F82" s="15">
        <f>E82*8</f>
        <v/>
      </c>
      <c r="G82" s="16" t="n">
        <v>4</v>
      </c>
      <c r="H82" s="15">
        <f>F82+G82</f>
        <v/>
      </c>
      <c r="I82" s="16" t="n">
        <v>159.67</v>
      </c>
      <c r="J82" s="17">
        <f>IFERROR(I82/H82,0)</f>
        <v/>
      </c>
      <c r="K82" s="17">
        <f>MAX(0,1-J82)</f>
        <v/>
      </c>
      <c r="L82" s="18" t="n">
        <v>13811.49</v>
      </c>
      <c r="M82" s="16" t="n">
        <v>159.67</v>
      </c>
      <c r="N82" s="15">
        <f>M82+E82*2</f>
        <v/>
      </c>
      <c r="O82" s="17">
        <f>MIN(1.25,J82+15%)</f>
        <v/>
      </c>
      <c r="P82" s="17">
        <f>J82</f>
        <v/>
      </c>
      <c r="Q82" s="17">
        <f>MIN(1.25,O82*P82/90%)</f>
        <v/>
      </c>
    </row>
    <row r="83">
      <c r="A83" s="13" t="n">
        <v>78</v>
      </c>
      <c r="B83" s="14" t="inlineStr">
        <is>
          <t>RAGHU</t>
        </is>
      </c>
      <c r="C83" s="14" t="inlineStr">
        <is>
          <t>ELECTRICIAN</t>
        </is>
      </c>
      <c r="D83" s="14" t="inlineStr">
        <is>
          <t>TN0276</t>
        </is>
      </c>
      <c r="E83" s="13" t="n">
        <v>25</v>
      </c>
      <c r="F83" s="15">
        <f>E83*8</f>
        <v/>
      </c>
      <c r="G83" s="16" t="n">
        <v>0</v>
      </c>
      <c r="H83" s="15">
        <f>F83+G83</f>
        <v/>
      </c>
      <c r="I83" s="16" t="n">
        <v>148.76</v>
      </c>
      <c r="J83" s="17">
        <f>IFERROR(I83/H83,0)</f>
        <v/>
      </c>
      <c r="K83" s="17">
        <f>MAX(0,1-J83)</f>
        <v/>
      </c>
      <c r="L83" s="18" t="n">
        <v>12435.57</v>
      </c>
      <c r="M83" s="16" t="n">
        <v>148.76</v>
      </c>
      <c r="N83" s="15">
        <f>M83+E83*2</f>
        <v/>
      </c>
      <c r="O83" s="17">
        <f>MIN(1.25,J83+15%)</f>
        <v/>
      </c>
      <c r="P83" s="17">
        <f>J83</f>
        <v/>
      </c>
      <c r="Q83" s="17">
        <f>MIN(1.25,O83*P83/90%)</f>
        <v/>
      </c>
    </row>
    <row r="84">
      <c r="A84" s="13" t="n">
        <v>79</v>
      </c>
      <c r="B84" s="14" t="inlineStr">
        <is>
          <t>MAHAFUJ ALI MOHAMMAD</t>
        </is>
      </c>
      <c r="C84" s="14" t="inlineStr">
        <is>
          <t>PAINTER</t>
        </is>
      </c>
      <c r="D84" s="14" t="inlineStr">
        <is>
          <t>TN0277</t>
        </is>
      </c>
      <c r="E84" s="13" t="n">
        <v>25</v>
      </c>
      <c r="F84" s="15">
        <f>E84*8</f>
        <v/>
      </c>
      <c r="G84" s="16" t="n">
        <v>0</v>
      </c>
      <c r="H84" s="15">
        <f>F84+G84</f>
        <v/>
      </c>
      <c r="I84" s="16" t="n">
        <v>143.29</v>
      </c>
      <c r="J84" s="17">
        <f>IFERROR(I84/H84,0)</f>
        <v/>
      </c>
      <c r="K84" s="17">
        <f>MAX(0,1-J84)</f>
        <v/>
      </c>
      <c r="L84" s="18" t="n">
        <v>12129.22</v>
      </c>
      <c r="M84" s="16" t="n">
        <v>143.29</v>
      </c>
      <c r="N84" s="15">
        <f>M84+E84*2</f>
        <v/>
      </c>
      <c r="O84" s="17">
        <f>MIN(1.25,J84+15%)</f>
        <v/>
      </c>
      <c r="P84" s="17">
        <f>J84</f>
        <v/>
      </c>
      <c r="Q84" s="17">
        <f>MIN(1.25,O84*P84/90%)</f>
        <v/>
      </c>
    </row>
    <row r="85">
      <c r="A85" s="13" t="n">
        <v>80</v>
      </c>
      <c r="B85" s="14" t="inlineStr">
        <is>
          <t>SK MAKSOOD</t>
        </is>
      </c>
      <c r="C85" s="14" t="inlineStr">
        <is>
          <t>PAINTER</t>
        </is>
      </c>
      <c r="D85" s="14" t="inlineStr">
        <is>
          <t>TN0280</t>
        </is>
      </c>
      <c r="E85" s="13" t="n">
        <v>26</v>
      </c>
      <c r="F85" s="15">
        <f>E85*8</f>
        <v/>
      </c>
      <c r="G85" s="16" t="n">
        <v>4</v>
      </c>
      <c r="H85" s="15">
        <f>F85+G85</f>
        <v/>
      </c>
      <c r="I85" s="16" t="n">
        <v>168.37</v>
      </c>
      <c r="J85" s="17">
        <f>IFERROR(I85/H85,0)</f>
        <v/>
      </c>
      <c r="K85" s="17">
        <f>MAX(0,1-J85)</f>
        <v/>
      </c>
      <c r="L85" s="18" t="n">
        <v>14336.35</v>
      </c>
      <c r="M85" s="16" t="n">
        <v>168.37</v>
      </c>
      <c r="N85" s="15">
        <f>M85+E85*2</f>
        <v/>
      </c>
      <c r="O85" s="17">
        <f>MIN(1.25,J85+15%)</f>
        <v/>
      </c>
      <c r="P85" s="17">
        <f>J85</f>
        <v/>
      </c>
      <c r="Q85" s="17">
        <f>MIN(1.25,O85*P85/90%)</f>
        <v/>
      </c>
    </row>
    <row r="86">
      <c r="A86" s="13" t="n">
        <v>81</v>
      </c>
      <c r="B86" s="14" t="inlineStr">
        <is>
          <t>umar sadiq abdur rahman</t>
        </is>
      </c>
      <c r="C86" s="14" t="inlineStr">
        <is>
          <t>DENTER</t>
        </is>
      </c>
      <c r="D86" s="14" t="inlineStr">
        <is>
          <t>TN0281</t>
        </is>
      </c>
      <c r="E86" s="13" t="n">
        <v>27</v>
      </c>
      <c r="F86" s="15">
        <f>E86*8</f>
        <v/>
      </c>
      <c r="G86" s="16" t="n">
        <v>1</v>
      </c>
      <c r="H86" s="15">
        <f>F86+G86</f>
        <v/>
      </c>
      <c r="I86" s="16" t="n">
        <v>193.2</v>
      </c>
      <c r="J86" s="17">
        <f>IFERROR(I86/H86,0)</f>
        <v/>
      </c>
      <c r="K86" s="17">
        <f>MAX(0,1-J86)</f>
        <v/>
      </c>
      <c r="L86" s="18" t="n">
        <v>16393.53</v>
      </c>
      <c r="M86" s="16" t="n">
        <v>193.2</v>
      </c>
      <c r="N86" s="15">
        <f>M86+E86*2</f>
        <v/>
      </c>
      <c r="O86" s="17">
        <f>MIN(1.25,J86+15%)</f>
        <v/>
      </c>
      <c r="P86" s="17">
        <f>J86</f>
        <v/>
      </c>
      <c r="Q86" s="17">
        <f>MIN(1.25,O86*P86/90%)</f>
        <v/>
      </c>
    </row>
    <row r="87">
      <c r="A87" s="13" t="n">
        <v>82</v>
      </c>
      <c r="B87" s="14" t="inlineStr">
        <is>
          <t>DHANESH E. DEVADAS</t>
        </is>
      </c>
      <c r="C87" s="14" t="inlineStr">
        <is>
          <t>MECHANIC</t>
        </is>
      </c>
      <c r="D87" s="14" t="inlineStr">
        <is>
          <t>TN0283</t>
        </is>
      </c>
      <c r="E87" s="13" t="n">
        <v>25</v>
      </c>
      <c r="F87" s="15">
        <f>E87*8</f>
        <v/>
      </c>
      <c r="G87" s="16" t="n">
        <v>0</v>
      </c>
      <c r="H87" s="15">
        <f>F87+G87</f>
        <v/>
      </c>
      <c r="I87" s="16" t="n">
        <v>69.02</v>
      </c>
      <c r="J87" s="17">
        <f>IFERROR(I87/H87,0)</f>
        <v/>
      </c>
      <c r="K87" s="17">
        <f>MAX(0,1-J87)</f>
        <v/>
      </c>
      <c r="L87" s="18" t="n">
        <v>5868.47</v>
      </c>
      <c r="M87" s="16" t="n">
        <v>69.02</v>
      </c>
      <c r="N87" s="15">
        <f>M87+E87*2</f>
        <v/>
      </c>
      <c r="O87" s="17">
        <f>MIN(1.25,J87+15%)</f>
        <v/>
      </c>
      <c r="P87" s="17">
        <f>J87</f>
        <v/>
      </c>
      <c r="Q87" s="17">
        <f>MIN(1.25,O87*P87/90%)</f>
        <v/>
      </c>
    </row>
    <row r="88">
      <c r="A88" s="13" t="n">
        <v>83</v>
      </c>
      <c r="B88" s="14" t="inlineStr">
        <is>
          <t>Emmanuel Koranteng</t>
        </is>
      </c>
      <c r="C88" s="14" t="inlineStr">
        <is>
          <t>ELECTRICIAN</t>
        </is>
      </c>
      <c r="D88" s="14" t="inlineStr">
        <is>
          <t>TN0285</t>
        </is>
      </c>
      <c r="E88" s="13" t="n">
        <v>22</v>
      </c>
      <c r="F88" s="15">
        <f>E88*8</f>
        <v/>
      </c>
      <c r="G88" s="16" t="n">
        <v>0</v>
      </c>
      <c r="H88" s="15">
        <f>F88+G88</f>
        <v/>
      </c>
      <c r="I88" s="16" t="n">
        <v>118.37</v>
      </c>
      <c r="J88" s="17">
        <f>IFERROR(I88/H88,0)</f>
        <v/>
      </c>
      <c r="K88" s="17">
        <f>MAX(0,1-J88)</f>
        <v/>
      </c>
      <c r="L88" s="18" t="n">
        <v>10060.01</v>
      </c>
      <c r="M88" s="16" t="n">
        <v>118.37</v>
      </c>
      <c r="N88" s="15">
        <f>M88+E88*2</f>
        <v/>
      </c>
      <c r="O88" s="17">
        <f>MIN(1.25,J88+15%)</f>
        <v/>
      </c>
      <c r="P88" s="17">
        <f>J88</f>
        <v/>
      </c>
      <c r="Q88" s="17">
        <f>MIN(1.25,O88*P88/90%)</f>
        <v/>
      </c>
    </row>
    <row r="90">
      <c r="A90" s="19" t="n"/>
      <c r="B90" s="20" t="inlineStr">
        <is>
          <t>TOTAL / AVG</t>
        </is>
      </c>
      <c r="C90" s="19" t="n"/>
      <c r="D90" s="19" t="n"/>
      <c r="E90" s="21">
        <f>SUM(E6:E88)</f>
        <v/>
      </c>
      <c r="F90" s="21">
        <f>SUM(F6:F88)</f>
        <v/>
      </c>
      <c r="G90" s="21">
        <f>SUM(G6:G88)</f>
        <v/>
      </c>
      <c r="H90" s="21">
        <f>SUM(H6:H88)</f>
        <v/>
      </c>
      <c r="I90" s="21">
        <f>SUM(I6:I88)</f>
        <v/>
      </c>
      <c r="J90" s="22">
        <f>AVERAGE(J6:J88)</f>
        <v/>
      </c>
      <c r="K90" s="22">
        <f>AVERAGE(K6:K88)</f>
        <v/>
      </c>
      <c r="L90" s="23">
        <f>SUM(L6:L88)</f>
        <v/>
      </c>
      <c r="M90" s="21">
        <f>SUM(M6:M88)</f>
        <v/>
      </c>
      <c r="N90" s="21">
        <f>SUM(N6:N88)</f>
        <v/>
      </c>
      <c r="O90" s="22">
        <f>AVERAGE(O6:O88)</f>
        <v/>
      </c>
      <c r="P90" s="22">
        <f>AVERAGE(P6:P88)</f>
        <v/>
      </c>
      <c r="Q90" s="22">
        <f>AVERAGE(Q6:Q88)</f>
        <v/>
      </c>
    </row>
  </sheetData>
  <autoFilter ref="A5:Q88"/>
  <mergeCells count="3">
    <mergeCell ref="B2:Q2"/>
    <mergeCell ref="I1:M1"/>
    <mergeCell ref="A1:H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1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3" customWidth="1" min="14" max="14"/>
    <col width="9" customWidth="1" min="15" max="15"/>
    <col width="9" customWidth="1" min="16" max="16"/>
    <col width="9" customWidth="1" min="17" max="17"/>
  </cols>
  <sheetData>
    <row r="1">
      <c r="A1" s="9" t="inlineStr">
        <is>
          <t>Pioneer Car Service Center</t>
        </is>
      </c>
      <c r="I1" s="9" t="inlineStr">
        <is>
          <t>Technicians KPI's Report</t>
        </is>
      </c>
      <c r="N1" s="10" t="inlineStr">
        <is>
          <t>Period:</t>
        </is>
      </c>
      <c r="O1" s="10" t="inlineStr">
        <is>
          <t>Apr-2026</t>
        </is>
      </c>
    </row>
    <row r="2">
      <c r="A2" s="2" t="inlineStr">
        <is>
          <t>Data status:</t>
        </is>
      </c>
      <c r="B2" s="11" t="inlineStr">
        <is>
          <t>SIMULATED / ESTIMATED - realistic values based on Jul-2026 baseline</t>
        </is>
      </c>
    </row>
    <row r="5" ht="34" customHeight="1">
      <c r="A5" s="12" t="inlineStr">
        <is>
          <t>S.No</t>
        </is>
      </c>
      <c r="B5" s="12" t="inlineStr">
        <is>
          <t>Technician</t>
        </is>
      </c>
      <c r="C5" s="12" t="inlineStr">
        <is>
          <t>Designation</t>
        </is>
      </c>
      <c r="D5" s="12" t="inlineStr">
        <is>
          <t>Tech ID</t>
        </is>
      </c>
      <c r="E5" s="12" t="inlineStr">
        <is>
          <t>Days Present</t>
        </is>
      </c>
      <c r="F5" s="12" t="inlineStr">
        <is>
          <t>Avail. Hrs</t>
        </is>
      </c>
      <c r="G5" s="12" t="inlineStr">
        <is>
          <t>OT</t>
        </is>
      </c>
      <c r="H5" s="12" t="inlineStr">
        <is>
          <t>Total Hrs</t>
        </is>
      </c>
      <c r="I5" s="12" t="inlineStr">
        <is>
          <t>Worked Hrs</t>
        </is>
      </c>
      <c r="J5" s="12" t="inlineStr">
        <is>
          <t>Prod HRS (%)</t>
        </is>
      </c>
      <c r="K5" s="12" t="inlineStr">
        <is>
          <t>Idle HRS (%)</t>
        </is>
      </c>
      <c r="L5" s="12" t="inlineStr">
        <is>
          <t>Billed Value (AED)</t>
        </is>
      </c>
      <c r="M5" s="12" t="inlineStr">
        <is>
          <t>Billed HRS</t>
        </is>
      </c>
      <c r="N5" s="12" t="inlineStr">
        <is>
          <t>Billed Hours</t>
        </is>
      </c>
      <c r="O5" s="12" t="inlineStr">
        <is>
          <t>U%</t>
        </is>
      </c>
      <c r="P5" s="12" t="inlineStr">
        <is>
          <t>P%</t>
        </is>
      </c>
      <c r="Q5" s="12" t="inlineStr">
        <is>
          <t>E%</t>
        </is>
      </c>
    </row>
    <row r="6">
      <c r="A6" s="13" t="n">
        <v>1</v>
      </c>
      <c r="B6" s="14" t="inlineStr">
        <is>
          <t>GERVAS LEONARD</t>
        </is>
      </c>
      <c r="C6" s="14" t="inlineStr">
        <is>
          <t>DENTER</t>
        </is>
      </c>
      <c r="D6" s="14" t="inlineStr">
        <is>
          <t>TN0015</t>
        </is>
      </c>
      <c r="E6" s="13" t="n">
        <v>26</v>
      </c>
      <c r="F6" s="15">
        <f>E6*8</f>
        <v/>
      </c>
      <c r="G6" s="16" t="n">
        <v>2</v>
      </c>
      <c r="H6" s="15">
        <f>F6+G6</f>
        <v/>
      </c>
      <c r="I6" s="16" t="n">
        <v>172.08</v>
      </c>
      <c r="J6" s="17">
        <f>IFERROR(I6/H6,0)</f>
        <v/>
      </c>
      <c r="K6" s="17">
        <f>MAX(0,1-J6)</f>
        <v/>
      </c>
      <c r="L6" s="18" t="n">
        <v>14306.1</v>
      </c>
      <c r="M6" s="16" t="n">
        <v>172.08</v>
      </c>
      <c r="N6" s="15">
        <f>M6+E6*2</f>
        <v/>
      </c>
      <c r="O6" s="17">
        <f>MIN(1.25,J6+15%)</f>
        <v/>
      </c>
      <c r="P6" s="17">
        <f>J6</f>
        <v/>
      </c>
      <c r="Q6" s="17">
        <f>MIN(1.25,O6*P6/90%)</f>
        <v/>
      </c>
    </row>
    <row r="7">
      <c r="A7" s="13" t="n">
        <v>2</v>
      </c>
      <c r="B7" s="14" t="inlineStr">
        <is>
          <t>ATHUMANI HAMAD NGODA</t>
        </is>
      </c>
      <c r="C7" s="14" t="inlineStr">
        <is>
          <t>PAINTER</t>
        </is>
      </c>
      <c r="D7" s="14" t="inlineStr">
        <is>
          <t>TN0018</t>
        </is>
      </c>
      <c r="E7" s="13" t="n">
        <v>24</v>
      </c>
      <c r="F7" s="15">
        <f>E7*8</f>
        <v/>
      </c>
      <c r="G7" s="16" t="n">
        <v>2</v>
      </c>
      <c r="H7" s="15">
        <f>F7+G7</f>
        <v/>
      </c>
      <c r="I7" s="16" t="n">
        <v>163.64</v>
      </c>
      <c r="J7" s="17">
        <f>IFERROR(I7/H7,0)</f>
        <v/>
      </c>
      <c r="K7" s="17">
        <f>MAX(0,1-J7)</f>
        <v/>
      </c>
      <c r="L7" s="18" t="n">
        <v>13810.93</v>
      </c>
      <c r="M7" s="16" t="n">
        <v>163.64</v>
      </c>
      <c r="N7" s="15">
        <f>M7+E7*2</f>
        <v/>
      </c>
      <c r="O7" s="17">
        <f>MIN(1.25,J7+15%)</f>
        <v/>
      </c>
      <c r="P7" s="17">
        <f>J7</f>
        <v/>
      </c>
      <c r="Q7" s="17">
        <f>MIN(1.25,O7*P7/90%)</f>
        <v/>
      </c>
    </row>
    <row r="8">
      <c r="A8" s="13" t="n">
        <v>3</v>
      </c>
      <c r="B8" s="14" t="inlineStr">
        <is>
          <t>SAMIRULLAH Sheikh</t>
        </is>
      </c>
      <c r="C8" s="14" t="inlineStr">
        <is>
          <t>PAINTER</t>
        </is>
      </c>
      <c r="D8" s="14" t="inlineStr">
        <is>
          <t>TN0020</t>
        </is>
      </c>
      <c r="E8" s="13" t="n">
        <v>24</v>
      </c>
      <c r="F8" s="15">
        <f>E8*8</f>
        <v/>
      </c>
      <c r="G8" s="16" t="n">
        <v>2</v>
      </c>
      <c r="H8" s="15">
        <f>F8+G8</f>
        <v/>
      </c>
      <c r="I8" s="16" t="n">
        <v>167.42</v>
      </c>
      <c r="J8" s="17">
        <f>IFERROR(I8/H8,0)</f>
        <v/>
      </c>
      <c r="K8" s="17">
        <f>MAX(0,1-J8)</f>
        <v/>
      </c>
      <c r="L8" s="18" t="n">
        <v>14016.6</v>
      </c>
      <c r="M8" s="16" t="n">
        <v>167.42</v>
      </c>
      <c r="N8" s="15">
        <f>M8+E8*2</f>
        <v/>
      </c>
      <c r="O8" s="17">
        <f>MIN(1.25,J8+15%)</f>
        <v/>
      </c>
      <c r="P8" s="17">
        <f>J8</f>
        <v/>
      </c>
      <c r="Q8" s="17">
        <f>MIN(1.25,O8*P8/90%)</f>
        <v/>
      </c>
    </row>
    <row r="9">
      <c r="A9" s="13" t="n">
        <v>4</v>
      </c>
      <c r="B9" s="14" t="inlineStr">
        <is>
          <t>BRUNO STEPHANO MASASI</t>
        </is>
      </c>
      <c r="C9" s="14" t="inlineStr">
        <is>
          <t>MECHANIC</t>
        </is>
      </c>
      <c r="D9" s="14" t="inlineStr">
        <is>
          <t>TN0023</t>
        </is>
      </c>
      <c r="E9" s="13" t="n">
        <v>26</v>
      </c>
      <c r="F9" s="15">
        <f>E9*8</f>
        <v/>
      </c>
      <c r="G9" s="16" t="n">
        <v>0</v>
      </c>
      <c r="H9" s="15">
        <f>F9+G9</f>
        <v/>
      </c>
      <c r="I9" s="16" t="n">
        <v>186.84</v>
      </c>
      <c r="J9" s="17">
        <f>IFERROR(I9/H9,0)</f>
        <v/>
      </c>
      <c r="K9" s="17">
        <f>MAX(0,1-J9)</f>
        <v/>
      </c>
      <c r="L9" s="18" t="n">
        <v>15649.84</v>
      </c>
      <c r="M9" s="16" t="n">
        <v>186.84</v>
      </c>
      <c r="N9" s="15">
        <f>M9+E9*2</f>
        <v/>
      </c>
      <c r="O9" s="17">
        <f>MIN(1.25,J9+15%)</f>
        <v/>
      </c>
      <c r="P9" s="17">
        <f>J9</f>
        <v/>
      </c>
      <c r="Q9" s="17">
        <f>MIN(1.25,O9*P9/90%)</f>
        <v/>
      </c>
    </row>
    <row r="10">
      <c r="A10" s="13" t="n">
        <v>5</v>
      </c>
      <c r="B10" s="14" t="inlineStr">
        <is>
          <t>JUMANNE ABDUL</t>
        </is>
      </c>
      <c r="C10" s="14" t="inlineStr">
        <is>
          <t>PAINTER</t>
        </is>
      </c>
      <c r="D10" s="14" t="inlineStr">
        <is>
          <t>TN0025</t>
        </is>
      </c>
      <c r="E10" s="13" t="n">
        <v>25</v>
      </c>
      <c r="F10" s="15">
        <f>E10*8</f>
        <v/>
      </c>
      <c r="G10" s="16" t="n">
        <v>0</v>
      </c>
      <c r="H10" s="15">
        <f>F10+G10</f>
        <v/>
      </c>
      <c r="I10" s="16" t="n">
        <v>163.24</v>
      </c>
      <c r="J10" s="17">
        <f>IFERROR(I10/H10,0)</f>
        <v/>
      </c>
      <c r="K10" s="17">
        <f>MAX(0,1-J10)</f>
        <v/>
      </c>
      <c r="L10" s="18" t="n">
        <v>13667.36</v>
      </c>
      <c r="M10" s="16" t="n">
        <v>163.24</v>
      </c>
      <c r="N10" s="15">
        <f>M10+E10*2</f>
        <v/>
      </c>
      <c r="O10" s="17">
        <f>MIN(1.25,J10+15%)</f>
        <v/>
      </c>
      <c r="P10" s="17">
        <f>J10</f>
        <v/>
      </c>
      <c r="Q10" s="17">
        <f>MIN(1.25,O10*P10/90%)</f>
        <v/>
      </c>
    </row>
    <row r="11">
      <c r="A11" s="13" t="n">
        <v>6</v>
      </c>
      <c r="B11" s="14" t="inlineStr">
        <is>
          <t>Ally Bakali Kufikili</t>
        </is>
      </c>
      <c r="C11" s="14" t="inlineStr">
        <is>
          <t>PAINTER</t>
        </is>
      </c>
      <c r="D11" s="14" t="inlineStr">
        <is>
          <t>TN0027</t>
        </is>
      </c>
      <c r="E11" s="13" t="n">
        <v>2</v>
      </c>
      <c r="F11" s="15">
        <f>E11*8</f>
        <v/>
      </c>
      <c r="G11" s="16" t="n">
        <v>0</v>
      </c>
      <c r="H11" s="15">
        <f>F11+G11</f>
        <v/>
      </c>
      <c r="I11" s="16" t="n">
        <v>14.2</v>
      </c>
      <c r="J11" s="17">
        <f>IFERROR(I11/H11,0)</f>
        <v/>
      </c>
      <c r="K11" s="17">
        <f>MAX(0,1-J11)</f>
        <v/>
      </c>
      <c r="L11" s="18" t="n">
        <v>1177.49</v>
      </c>
      <c r="M11" s="16" t="n">
        <v>14.2</v>
      </c>
      <c r="N11" s="15">
        <f>M11+E11*2</f>
        <v/>
      </c>
      <c r="O11" s="17">
        <f>MIN(1.25,J11+15%)</f>
        <v/>
      </c>
      <c r="P11" s="17">
        <f>J11</f>
        <v/>
      </c>
      <c r="Q11" s="17">
        <f>MIN(1.25,O11*P11/90%)</f>
        <v/>
      </c>
    </row>
    <row r="12">
      <c r="A12" s="13" t="n">
        <v>7</v>
      </c>
      <c r="B12" s="14" t="inlineStr">
        <is>
          <t>Daudi Khafani Mrisho</t>
        </is>
      </c>
      <c r="C12" s="14" t="inlineStr">
        <is>
          <t>PAINTER</t>
        </is>
      </c>
      <c r="D12" s="14" t="inlineStr">
        <is>
          <t>TN0028</t>
        </is>
      </c>
      <c r="E12" s="13" t="n">
        <v>26</v>
      </c>
      <c r="F12" s="15">
        <f>E12*8</f>
        <v/>
      </c>
      <c r="G12" s="16" t="n">
        <v>0</v>
      </c>
      <c r="H12" s="15">
        <f>F12+G12</f>
        <v/>
      </c>
      <c r="I12" s="16" t="n">
        <v>162.12</v>
      </c>
      <c r="J12" s="17">
        <f>IFERROR(I12/H12,0)</f>
        <v/>
      </c>
      <c r="K12" s="17">
        <f>MAX(0,1-J12)</f>
        <v/>
      </c>
      <c r="L12" s="18" t="n">
        <v>13947.94</v>
      </c>
      <c r="M12" s="16" t="n">
        <v>162.12</v>
      </c>
      <c r="N12" s="15">
        <f>M12+E12*2</f>
        <v/>
      </c>
      <c r="O12" s="17">
        <f>MIN(1.25,J12+15%)</f>
        <v/>
      </c>
      <c r="P12" s="17">
        <f>J12</f>
        <v/>
      </c>
      <c r="Q12" s="17">
        <f>MIN(1.25,O12*P12/90%)</f>
        <v/>
      </c>
    </row>
    <row r="13">
      <c r="A13" s="13" t="n">
        <v>8</v>
      </c>
      <c r="B13" s="14" t="inlineStr">
        <is>
          <t>Aboo Khan Babu Khan</t>
        </is>
      </c>
      <c r="C13" s="14" t="inlineStr">
        <is>
          <t>PAINTER</t>
        </is>
      </c>
      <c r="D13" s="14" t="inlineStr">
        <is>
          <t>TN0041</t>
        </is>
      </c>
      <c r="E13" s="13" t="n">
        <v>26</v>
      </c>
      <c r="F13" s="15">
        <f>E13*8</f>
        <v/>
      </c>
      <c r="G13" s="16" t="n">
        <v>2</v>
      </c>
      <c r="H13" s="15">
        <f>F13+G13</f>
        <v/>
      </c>
      <c r="I13" s="16" t="n">
        <v>159.75</v>
      </c>
      <c r="J13" s="17">
        <f>IFERROR(I13/H13,0)</f>
        <v/>
      </c>
      <c r="K13" s="17">
        <f>MAX(0,1-J13)</f>
        <v/>
      </c>
      <c r="L13" s="18" t="n">
        <v>13911.27</v>
      </c>
      <c r="M13" s="16" t="n">
        <v>159.75</v>
      </c>
      <c r="N13" s="15">
        <f>M13+E13*2</f>
        <v/>
      </c>
      <c r="O13" s="17">
        <f>MIN(1.25,J13+15%)</f>
        <v/>
      </c>
      <c r="P13" s="17">
        <f>J13</f>
        <v/>
      </c>
      <c r="Q13" s="17">
        <f>MIN(1.25,O13*P13/90%)</f>
        <v/>
      </c>
    </row>
    <row r="14">
      <c r="A14" s="13" t="n">
        <v>9</v>
      </c>
      <c r="B14" s="14" t="inlineStr">
        <is>
          <t>AFZAL ALI</t>
        </is>
      </c>
      <c r="C14" s="14" t="inlineStr">
        <is>
          <t>DENTER</t>
        </is>
      </c>
      <c r="D14" s="14" t="inlineStr">
        <is>
          <t>TN0046</t>
        </is>
      </c>
      <c r="E14" s="13" t="n">
        <v>26</v>
      </c>
      <c r="F14" s="15">
        <f>E14*8</f>
        <v/>
      </c>
      <c r="G14" s="16" t="n">
        <v>4</v>
      </c>
      <c r="H14" s="15">
        <f>F14+G14</f>
        <v/>
      </c>
      <c r="I14" s="16" t="n">
        <v>172.07</v>
      </c>
      <c r="J14" s="17">
        <f>IFERROR(I14/H14,0)</f>
        <v/>
      </c>
      <c r="K14" s="17">
        <f>MAX(0,1-J14)</f>
        <v/>
      </c>
      <c r="L14" s="18" t="n">
        <v>14648.17</v>
      </c>
      <c r="M14" s="16" t="n">
        <v>172.07</v>
      </c>
      <c r="N14" s="15">
        <f>M14+E14*2</f>
        <v/>
      </c>
      <c r="O14" s="17">
        <f>MIN(1.25,J14+15%)</f>
        <v/>
      </c>
      <c r="P14" s="17">
        <f>J14</f>
        <v/>
      </c>
      <c r="Q14" s="17">
        <f>MIN(1.25,O14*P14/90%)</f>
        <v/>
      </c>
    </row>
    <row r="15">
      <c r="A15" s="13" t="n">
        <v>10</v>
      </c>
      <c r="B15" s="14" t="inlineStr">
        <is>
          <t>ALEX LAL</t>
        </is>
      </c>
      <c r="C15" s="14" t="inlineStr">
        <is>
          <t>DENTER</t>
        </is>
      </c>
      <c r="D15" s="14" t="inlineStr">
        <is>
          <t>TN0047</t>
        </is>
      </c>
      <c r="E15" s="13" t="n">
        <v>25</v>
      </c>
      <c r="F15" s="15">
        <f>E15*8</f>
        <v/>
      </c>
      <c r="G15" s="16" t="n">
        <v>2</v>
      </c>
      <c r="H15" s="15">
        <f>F15+G15</f>
        <v/>
      </c>
      <c r="I15" s="16" t="n">
        <v>165.38</v>
      </c>
      <c r="J15" s="17">
        <f>IFERROR(I15/H15,0)</f>
        <v/>
      </c>
      <c r="K15" s="17">
        <f>MAX(0,1-J15)</f>
        <v/>
      </c>
      <c r="L15" s="18" t="n">
        <v>14053.32</v>
      </c>
      <c r="M15" s="16" t="n">
        <v>165.38</v>
      </c>
      <c r="N15" s="15">
        <f>M15+E15*2</f>
        <v/>
      </c>
      <c r="O15" s="17">
        <f>MIN(1.25,J15+15%)</f>
        <v/>
      </c>
      <c r="P15" s="17">
        <f>J15</f>
        <v/>
      </c>
      <c r="Q15" s="17">
        <f>MIN(1.25,O15*P15/90%)</f>
        <v/>
      </c>
    </row>
    <row r="16">
      <c r="A16" s="13" t="n">
        <v>11</v>
      </c>
      <c r="B16" s="14" t="inlineStr">
        <is>
          <t>MOHAMMAD ALMAGIR</t>
        </is>
      </c>
      <c r="C16" s="14" t="inlineStr">
        <is>
          <t>MECHANIC</t>
        </is>
      </c>
      <c r="D16" s="14" t="inlineStr">
        <is>
          <t>TN0055</t>
        </is>
      </c>
      <c r="E16" s="13" t="n">
        <v>12</v>
      </c>
      <c r="F16" s="15">
        <f>E16*8</f>
        <v/>
      </c>
      <c r="G16" s="16" t="n">
        <v>0</v>
      </c>
      <c r="H16" s="15">
        <f>F16+G16</f>
        <v/>
      </c>
      <c r="I16" s="16" t="n">
        <v>41.03</v>
      </c>
      <c r="J16" s="17">
        <f>IFERROR(I16/H16,0)</f>
        <v/>
      </c>
      <c r="K16" s="17">
        <f>MAX(0,1-J16)</f>
        <v/>
      </c>
      <c r="L16" s="18" t="n">
        <v>3487.64</v>
      </c>
      <c r="M16" s="16" t="n">
        <v>41.03</v>
      </c>
      <c r="N16" s="15">
        <f>M16+E16*2</f>
        <v/>
      </c>
      <c r="O16" s="17">
        <f>MIN(1.25,J16+15%)</f>
        <v/>
      </c>
      <c r="P16" s="17">
        <f>J16</f>
        <v/>
      </c>
      <c r="Q16" s="17">
        <f>MIN(1.25,O16*P16/90%)</f>
        <v/>
      </c>
    </row>
    <row r="17">
      <c r="A17" s="13" t="n">
        <v>12</v>
      </c>
      <c r="B17" s="14" t="inlineStr">
        <is>
          <t>ADESH BARUA</t>
        </is>
      </c>
      <c r="C17" s="14" t="inlineStr">
        <is>
          <t>ELECTRICIAN</t>
        </is>
      </c>
      <c r="D17" s="14" t="inlineStr">
        <is>
          <t>TN0064</t>
        </is>
      </c>
      <c r="E17" s="13" t="n">
        <v>26</v>
      </c>
      <c r="F17" s="15">
        <f>E17*8</f>
        <v/>
      </c>
      <c r="G17" s="16" t="n">
        <v>2</v>
      </c>
      <c r="H17" s="15">
        <f>F17+G17</f>
        <v/>
      </c>
      <c r="I17" s="16" t="n">
        <v>166.95</v>
      </c>
      <c r="J17" s="17">
        <f>IFERROR(I17/H17,0)</f>
        <v/>
      </c>
      <c r="K17" s="17">
        <f>MAX(0,1-J17)</f>
        <v/>
      </c>
      <c r="L17" s="18" t="n">
        <v>14520.45</v>
      </c>
      <c r="M17" s="16" t="n">
        <v>166.95</v>
      </c>
      <c r="N17" s="15">
        <f>M17+E17*2</f>
        <v/>
      </c>
      <c r="O17" s="17">
        <f>MIN(1.25,J17+15%)</f>
        <v/>
      </c>
      <c r="P17" s="17">
        <f>J17</f>
        <v/>
      </c>
      <c r="Q17" s="17">
        <f>MIN(1.25,O17*P17/90%)</f>
        <v/>
      </c>
    </row>
    <row r="18">
      <c r="A18" s="13" t="n">
        <v>13</v>
      </c>
      <c r="B18" s="14" t="inlineStr">
        <is>
          <t>BIDYADHAR BHUYAN</t>
        </is>
      </c>
      <c r="C18" s="14" t="inlineStr">
        <is>
          <t>PAINTER</t>
        </is>
      </c>
      <c r="D18" s="14" t="inlineStr">
        <is>
          <t>TN0067</t>
        </is>
      </c>
      <c r="E18" s="13" t="n">
        <v>26</v>
      </c>
      <c r="F18" s="15">
        <f>E18*8</f>
        <v/>
      </c>
      <c r="G18" s="16" t="n">
        <v>4</v>
      </c>
      <c r="H18" s="15">
        <f>F18+G18</f>
        <v/>
      </c>
      <c r="I18" s="16" t="n">
        <v>164.78</v>
      </c>
      <c r="J18" s="17">
        <f>IFERROR(I18/H18,0)</f>
        <v/>
      </c>
      <c r="K18" s="17">
        <f>MAX(0,1-J18)</f>
        <v/>
      </c>
      <c r="L18" s="18" t="n">
        <v>14271.87</v>
      </c>
      <c r="M18" s="16" t="n">
        <v>164.78</v>
      </c>
      <c r="N18" s="15">
        <f>M18+E18*2</f>
        <v/>
      </c>
      <c r="O18" s="17">
        <f>MIN(1.25,J18+15%)</f>
        <v/>
      </c>
      <c r="P18" s="17">
        <f>J18</f>
        <v/>
      </c>
      <c r="Q18" s="17">
        <f>MIN(1.25,O18*P18/90%)</f>
        <v/>
      </c>
    </row>
    <row r="19">
      <c r="A19" s="13" t="n">
        <v>14</v>
      </c>
      <c r="B19" s="14" t="inlineStr">
        <is>
          <t>MOHAMMAD EHTESHAM</t>
        </is>
      </c>
      <c r="C19" s="14" t="inlineStr">
        <is>
          <t>PAINTER</t>
        </is>
      </c>
      <c r="D19" s="14" t="inlineStr">
        <is>
          <t>TN0069</t>
        </is>
      </c>
      <c r="E19" s="13" t="n">
        <v>26</v>
      </c>
      <c r="F19" s="15">
        <f>E19*8</f>
        <v/>
      </c>
      <c r="G19" s="16" t="n">
        <v>0</v>
      </c>
      <c r="H19" s="15">
        <f>F19+G19</f>
        <v/>
      </c>
      <c r="I19" s="16" t="n">
        <v>193.46</v>
      </c>
      <c r="J19" s="17">
        <f>IFERROR(I19/H19,0)</f>
        <v/>
      </c>
      <c r="K19" s="17">
        <f>MAX(0,1-J19)</f>
        <v/>
      </c>
      <c r="L19" s="18" t="n">
        <v>16658.85</v>
      </c>
      <c r="M19" s="16" t="n">
        <v>193.46</v>
      </c>
      <c r="N19" s="15">
        <f>M19+E19*2</f>
        <v/>
      </c>
      <c r="O19" s="17">
        <f>MIN(1.25,J19+15%)</f>
        <v/>
      </c>
      <c r="P19" s="17">
        <f>J19</f>
        <v/>
      </c>
      <c r="Q19" s="17">
        <f>MIN(1.25,O19*P19/90%)</f>
        <v/>
      </c>
    </row>
    <row r="20">
      <c r="A20" s="13" t="n">
        <v>15</v>
      </c>
      <c r="B20" s="14" t="inlineStr">
        <is>
          <t>SHAZADA ALI</t>
        </is>
      </c>
      <c r="C20" s="14" t="inlineStr">
        <is>
          <t>DENTER</t>
        </is>
      </c>
      <c r="D20" s="14" t="inlineStr">
        <is>
          <t>TN0072</t>
        </is>
      </c>
      <c r="E20" s="13" t="n">
        <v>24</v>
      </c>
      <c r="F20" s="15">
        <f>E20*8</f>
        <v/>
      </c>
      <c r="G20" s="16" t="n">
        <v>0</v>
      </c>
      <c r="H20" s="15">
        <f>F20+G20</f>
        <v/>
      </c>
      <c r="I20" s="16" t="n">
        <v>168.58</v>
      </c>
      <c r="J20" s="17">
        <f>IFERROR(I20/H20,0)</f>
        <v/>
      </c>
      <c r="K20" s="17">
        <f>MAX(0,1-J20)</f>
        <v/>
      </c>
      <c r="L20" s="18" t="n">
        <v>14078.81</v>
      </c>
      <c r="M20" s="16" t="n">
        <v>168.58</v>
      </c>
      <c r="N20" s="15">
        <f>M20+E20*2</f>
        <v/>
      </c>
      <c r="O20" s="17">
        <f>MIN(1.25,J20+15%)</f>
        <v/>
      </c>
      <c r="P20" s="17">
        <f>J20</f>
        <v/>
      </c>
      <c r="Q20" s="17">
        <f>MIN(1.25,O20*P20/90%)</f>
        <v/>
      </c>
    </row>
    <row r="21">
      <c r="A21" s="13" t="n">
        <v>16</v>
      </c>
      <c r="B21" s="14" t="inlineStr">
        <is>
          <t>DIVAKAREN</t>
        </is>
      </c>
      <c r="C21" s="14" t="inlineStr">
        <is>
          <t>ELECTRICIAN</t>
        </is>
      </c>
      <c r="D21" s="14" t="inlineStr">
        <is>
          <t>TN0073</t>
        </is>
      </c>
      <c r="E21" s="13" t="n">
        <v>24</v>
      </c>
      <c r="F21" s="15">
        <f>E21*8</f>
        <v/>
      </c>
      <c r="G21" s="16" t="n">
        <v>1</v>
      </c>
      <c r="H21" s="15">
        <f>F21+G21</f>
        <v/>
      </c>
      <c r="I21" s="16" t="n">
        <v>104.94</v>
      </c>
      <c r="J21" s="17">
        <f>IFERROR(I21/H21,0)</f>
        <v/>
      </c>
      <c r="K21" s="17">
        <f>MAX(0,1-J21)</f>
        <v/>
      </c>
      <c r="L21" s="18" t="n">
        <v>8832.290000000001</v>
      </c>
      <c r="M21" s="16" t="n">
        <v>104.94</v>
      </c>
      <c r="N21" s="15">
        <f>M21+E21*2</f>
        <v/>
      </c>
      <c r="O21" s="17">
        <f>MIN(1.25,J21+15%)</f>
        <v/>
      </c>
      <c r="P21" s="17">
        <f>J21</f>
        <v/>
      </c>
      <c r="Q21" s="17">
        <f>MIN(1.25,O21*P21/90%)</f>
        <v/>
      </c>
    </row>
    <row r="22">
      <c r="A22" s="13" t="n">
        <v>17</v>
      </c>
      <c r="B22" s="14" t="inlineStr">
        <is>
          <t>RAGHIN KUVVAKKAT</t>
        </is>
      </c>
      <c r="C22" s="14" t="inlineStr">
        <is>
          <t>MECHANIC</t>
        </is>
      </c>
      <c r="D22" s="14" t="inlineStr">
        <is>
          <t>TN0082</t>
        </is>
      </c>
      <c r="E22" s="13" t="n">
        <v>26</v>
      </c>
      <c r="F22" s="15">
        <f>E22*8</f>
        <v/>
      </c>
      <c r="G22" s="16" t="n">
        <v>0</v>
      </c>
      <c r="H22" s="15">
        <f>F22+G22</f>
        <v/>
      </c>
      <c r="I22" s="16" t="n">
        <v>145.24</v>
      </c>
      <c r="J22" s="17">
        <f>IFERROR(I22/H22,0)</f>
        <v/>
      </c>
      <c r="K22" s="17">
        <f>MAX(0,1-J22)</f>
        <v/>
      </c>
      <c r="L22" s="18" t="n">
        <v>12155.14</v>
      </c>
      <c r="M22" s="16" t="n">
        <v>145.24</v>
      </c>
      <c r="N22" s="15">
        <f>M22+E22*2</f>
        <v/>
      </c>
      <c r="O22" s="17">
        <f>MIN(1.25,J22+15%)</f>
        <v/>
      </c>
      <c r="P22" s="17">
        <f>J22</f>
        <v/>
      </c>
      <c r="Q22" s="17">
        <f>MIN(1.25,O22*P22/90%)</f>
        <v/>
      </c>
    </row>
    <row r="23">
      <c r="A23" s="13" t="n">
        <v>18</v>
      </c>
      <c r="B23" s="14" t="inlineStr">
        <is>
          <t>MARLON LANDICHO</t>
        </is>
      </c>
      <c r="C23" s="14" t="inlineStr">
        <is>
          <t>MECHANIC</t>
        </is>
      </c>
      <c r="D23" s="14" t="inlineStr">
        <is>
          <t>TN0089</t>
        </is>
      </c>
      <c r="E23" s="13" t="n">
        <v>26</v>
      </c>
      <c r="F23" s="15">
        <f>E23*8</f>
        <v/>
      </c>
      <c r="G23" s="16" t="n">
        <v>0</v>
      </c>
      <c r="H23" s="15">
        <f>F23+G23</f>
        <v/>
      </c>
      <c r="I23" s="16" t="n">
        <v>186.62</v>
      </c>
      <c r="J23" s="17">
        <f>IFERROR(I23/H23,0)</f>
        <v/>
      </c>
      <c r="K23" s="17">
        <f>MAX(0,1-J23)</f>
        <v/>
      </c>
      <c r="L23" s="18" t="n">
        <v>15902.23</v>
      </c>
      <c r="M23" s="16" t="n">
        <v>186.62</v>
      </c>
      <c r="N23" s="15">
        <f>M23+E23*2</f>
        <v/>
      </c>
      <c r="O23" s="17">
        <f>MIN(1.25,J23+15%)</f>
        <v/>
      </c>
      <c r="P23" s="17">
        <f>J23</f>
        <v/>
      </c>
      <c r="Q23" s="17">
        <f>MIN(1.25,O23*P23/90%)</f>
        <v/>
      </c>
    </row>
    <row r="24">
      <c r="A24" s="13" t="n">
        <v>19</v>
      </c>
      <c r="B24" s="14" t="inlineStr">
        <is>
          <t>LIJO SAJAN DANIEL</t>
        </is>
      </c>
      <c r="C24" s="14" t="inlineStr">
        <is>
          <t>MECHANIC</t>
        </is>
      </c>
      <c r="D24" s="14" t="inlineStr">
        <is>
          <t>TN0092</t>
        </is>
      </c>
      <c r="E24" s="13" t="n">
        <v>24</v>
      </c>
      <c r="F24" s="15">
        <f>E24*8</f>
        <v/>
      </c>
      <c r="G24" s="16" t="n">
        <v>2</v>
      </c>
      <c r="H24" s="15">
        <f>F24+G24</f>
        <v/>
      </c>
      <c r="I24" s="16" t="n">
        <v>159.14</v>
      </c>
      <c r="J24" s="17">
        <f>IFERROR(I24/H24,0)</f>
        <v/>
      </c>
      <c r="K24" s="17">
        <f>MAX(0,1-J24)</f>
        <v/>
      </c>
      <c r="L24" s="18" t="n">
        <v>13728.18</v>
      </c>
      <c r="M24" s="16" t="n">
        <v>159.14</v>
      </c>
      <c r="N24" s="15">
        <f>M24+E24*2</f>
        <v/>
      </c>
      <c r="O24" s="17">
        <f>MIN(1.25,J24+15%)</f>
        <v/>
      </c>
      <c r="P24" s="17">
        <f>J24</f>
        <v/>
      </c>
      <c r="Q24" s="17">
        <f>MIN(1.25,O24*P24/90%)</f>
        <v/>
      </c>
    </row>
    <row r="25">
      <c r="A25" s="13" t="n">
        <v>20</v>
      </c>
      <c r="B25" s="14" t="inlineStr">
        <is>
          <t>WASSIM AKKARI</t>
        </is>
      </c>
      <c r="C25" s="14" t="inlineStr">
        <is>
          <t>TYRE TECHNICIAN</t>
        </is>
      </c>
      <c r="D25" s="14" t="inlineStr">
        <is>
          <t>TN0096</t>
        </is>
      </c>
      <c r="E25" s="13" t="n">
        <v>25</v>
      </c>
      <c r="F25" s="15">
        <f>E25*8</f>
        <v/>
      </c>
      <c r="G25" s="16" t="n">
        <v>4</v>
      </c>
      <c r="H25" s="15">
        <f>F25+G25</f>
        <v/>
      </c>
      <c r="I25" s="16" t="n">
        <v>140.03</v>
      </c>
      <c r="J25" s="17">
        <f>IFERROR(I25/H25,0)</f>
        <v/>
      </c>
      <c r="K25" s="17">
        <f>MAX(0,1-J25)</f>
        <v/>
      </c>
      <c r="L25" s="18" t="n">
        <v>12122.46</v>
      </c>
      <c r="M25" s="16" t="n">
        <v>140.03</v>
      </c>
      <c r="N25" s="15">
        <f>M25+E25*2</f>
        <v/>
      </c>
      <c r="O25" s="17">
        <f>MIN(1.25,J25+15%)</f>
        <v/>
      </c>
      <c r="P25" s="17">
        <f>J25</f>
        <v/>
      </c>
      <c r="Q25" s="17">
        <f>MIN(1.25,O25*P25/90%)</f>
        <v/>
      </c>
    </row>
    <row r="26">
      <c r="A26" s="13" t="n">
        <v>21</v>
      </c>
      <c r="B26" s="14" t="inlineStr">
        <is>
          <t>MUHAMMAD NADEEM</t>
        </is>
      </c>
      <c r="C26" s="14" t="inlineStr">
        <is>
          <t>MECHANIC</t>
        </is>
      </c>
      <c r="D26" s="14" t="inlineStr">
        <is>
          <t>TN0107</t>
        </is>
      </c>
      <c r="E26" s="13" t="n">
        <v>26</v>
      </c>
      <c r="F26" s="15">
        <f>E26*8</f>
        <v/>
      </c>
      <c r="G26" s="16" t="n">
        <v>4</v>
      </c>
      <c r="H26" s="15">
        <f>F26+G26</f>
        <v/>
      </c>
      <c r="I26" s="16" t="n">
        <v>203.82</v>
      </c>
      <c r="J26" s="17">
        <f>IFERROR(I26/H26,0)</f>
        <v/>
      </c>
      <c r="K26" s="17">
        <f>MAX(0,1-J26)</f>
        <v/>
      </c>
      <c r="L26" s="18" t="n">
        <v>17414.96</v>
      </c>
      <c r="M26" s="16" t="n">
        <v>203.82</v>
      </c>
      <c r="N26" s="15">
        <f>M26+E26*2</f>
        <v/>
      </c>
      <c r="O26" s="17">
        <f>MIN(1.25,J26+15%)</f>
        <v/>
      </c>
      <c r="P26" s="17">
        <f>J26</f>
        <v/>
      </c>
      <c r="Q26" s="17">
        <f>MIN(1.25,O26*P26/90%)</f>
        <v/>
      </c>
    </row>
    <row r="27">
      <c r="A27" s="13" t="n">
        <v>22</v>
      </c>
      <c r="B27" s="14" t="inlineStr">
        <is>
          <t>SURESH NATRAJAN</t>
        </is>
      </c>
      <c r="C27" s="14" t="inlineStr">
        <is>
          <t>TYRE TECHNICIAN</t>
        </is>
      </c>
      <c r="D27" s="14" t="inlineStr">
        <is>
          <t>TN0109</t>
        </is>
      </c>
      <c r="E27" s="13" t="n">
        <v>25</v>
      </c>
      <c r="F27" s="15">
        <f>E27*8</f>
        <v/>
      </c>
      <c r="G27" s="16" t="n">
        <v>1</v>
      </c>
      <c r="H27" s="15">
        <f>F27+G27</f>
        <v/>
      </c>
      <c r="I27" s="16" t="n">
        <v>172.41</v>
      </c>
      <c r="J27" s="17">
        <f>IFERROR(I27/H27,0)</f>
        <v/>
      </c>
      <c r="K27" s="17">
        <f>MAX(0,1-J27)</f>
        <v/>
      </c>
      <c r="L27" s="18" t="n">
        <v>14802.6</v>
      </c>
      <c r="M27" s="16" t="n">
        <v>172.41</v>
      </c>
      <c r="N27" s="15">
        <f>M27+E27*2</f>
        <v/>
      </c>
      <c r="O27" s="17">
        <f>MIN(1.25,J27+15%)</f>
        <v/>
      </c>
      <c r="P27" s="17">
        <f>J27</f>
        <v/>
      </c>
      <c r="Q27" s="17">
        <f>MIN(1.25,O27*P27/90%)</f>
        <v/>
      </c>
    </row>
    <row r="28">
      <c r="A28" s="13" t="n">
        <v>23</v>
      </c>
      <c r="B28" s="14" t="inlineStr">
        <is>
          <t>NIKHIL VARKEY</t>
        </is>
      </c>
      <c r="C28" s="14" t="inlineStr">
        <is>
          <t>ELECTRICIAN</t>
        </is>
      </c>
      <c r="D28" s="14" t="inlineStr">
        <is>
          <t>TN0114</t>
        </is>
      </c>
      <c r="E28" s="13" t="n">
        <v>25</v>
      </c>
      <c r="F28" s="15">
        <f>E28*8</f>
        <v/>
      </c>
      <c r="G28" s="16" t="n">
        <v>0</v>
      </c>
      <c r="H28" s="15">
        <f>F28+G28</f>
        <v/>
      </c>
      <c r="I28" s="16" t="n">
        <v>97.59999999999999</v>
      </c>
      <c r="J28" s="17">
        <f>IFERROR(I28/H28,0)</f>
        <v/>
      </c>
      <c r="K28" s="17">
        <f>MAX(0,1-J28)</f>
        <v/>
      </c>
      <c r="L28" s="18" t="n">
        <v>8191.19</v>
      </c>
      <c r="M28" s="16" t="n">
        <v>97.59999999999999</v>
      </c>
      <c r="N28" s="15">
        <f>M28+E28*2</f>
        <v/>
      </c>
      <c r="O28" s="17">
        <f>MIN(1.25,J28+15%)</f>
        <v/>
      </c>
      <c r="P28" s="17">
        <f>J28</f>
        <v/>
      </c>
      <c r="Q28" s="17">
        <f>MIN(1.25,O28*P28/90%)</f>
        <v/>
      </c>
    </row>
    <row r="29">
      <c r="A29" s="13" t="n">
        <v>24</v>
      </c>
      <c r="B29" s="14" t="inlineStr">
        <is>
          <t>SAFIQUE MAHAMMAD</t>
        </is>
      </c>
      <c r="C29" s="14" t="inlineStr">
        <is>
          <t>DENTER</t>
        </is>
      </c>
      <c r="D29" s="14" t="inlineStr">
        <is>
          <t>TN0116</t>
        </is>
      </c>
      <c r="E29" s="13" t="n">
        <v>25</v>
      </c>
      <c r="F29" s="15">
        <f>E29*8</f>
        <v/>
      </c>
      <c r="G29" s="16" t="n">
        <v>0</v>
      </c>
      <c r="H29" s="15">
        <f>F29+G29</f>
        <v/>
      </c>
      <c r="I29" s="16" t="n">
        <v>145.82</v>
      </c>
      <c r="J29" s="17">
        <f>IFERROR(I29/H29,0)</f>
        <v/>
      </c>
      <c r="K29" s="17">
        <f>MAX(0,1-J29)</f>
        <v/>
      </c>
      <c r="L29" s="18" t="n">
        <v>12635.55</v>
      </c>
      <c r="M29" s="16" t="n">
        <v>145.82</v>
      </c>
      <c r="N29" s="15">
        <f>M29+E29*2</f>
        <v/>
      </c>
      <c r="O29" s="17">
        <f>MIN(1.25,J29+15%)</f>
        <v/>
      </c>
      <c r="P29" s="17">
        <f>J29</f>
        <v/>
      </c>
      <c r="Q29" s="17">
        <f>MIN(1.25,O29*P29/90%)</f>
        <v/>
      </c>
    </row>
    <row r="30">
      <c r="A30" s="13" t="n">
        <v>25</v>
      </c>
      <c r="B30" s="14" t="inlineStr">
        <is>
          <t>MOHAMAMD RAJA</t>
        </is>
      </c>
      <c r="C30" s="14" t="inlineStr">
        <is>
          <t>PAINTER</t>
        </is>
      </c>
      <c r="D30" s="14" t="inlineStr">
        <is>
          <t>TN0121</t>
        </is>
      </c>
      <c r="E30" s="13" t="n">
        <v>24</v>
      </c>
      <c r="F30" s="15">
        <f>E30*8</f>
        <v/>
      </c>
      <c r="G30" s="16" t="n">
        <v>0</v>
      </c>
      <c r="H30" s="15">
        <f>F30+G30</f>
        <v/>
      </c>
      <c r="I30" s="16" t="n">
        <v>132.2</v>
      </c>
      <c r="J30" s="17">
        <f>IFERROR(I30/H30,0)</f>
        <v/>
      </c>
      <c r="K30" s="17">
        <f>MAX(0,1-J30)</f>
        <v/>
      </c>
      <c r="L30" s="18" t="n">
        <v>11073.14</v>
      </c>
      <c r="M30" s="16" t="n">
        <v>132.2</v>
      </c>
      <c r="N30" s="15">
        <f>M30+E30*2</f>
        <v/>
      </c>
      <c r="O30" s="17">
        <f>MIN(1.25,J30+15%)</f>
        <v/>
      </c>
      <c r="P30" s="17">
        <f>J30</f>
        <v/>
      </c>
      <c r="Q30" s="17">
        <f>MIN(1.25,O30*P30/90%)</f>
        <v/>
      </c>
    </row>
    <row r="31">
      <c r="A31" s="13" t="n">
        <v>26</v>
      </c>
      <c r="B31" s="14" t="inlineStr">
        <is>
          <t>EJAJ AHMAD</t>
        </is>
      </c>
      <c r="C31" s="14" t="inlineStr">
        <is>
          <t>DENTER</t>
        </is>
      </c>
      <c r="D31" s="14" t="inlineStr">
        <is>
          <t>TN0122</t>
        </is>
      </c>
      <c r="E31" s="13" t="n">
        <v>26</v>
      </c>
      <c r="F31" s="15">
        <f>E31*8</f>
        <v/>
      </c>
      <c r="G31" s="16" t="n">
        <v>0</v>
      </c>
      <c r="H31" s="15">
        <f>F31+G31</f>
        <v/>
      </c>
      <c r="I31" s="16" t="n">
        <v>169.9</v>
      </c>
      <c r="J31" s="17">
        <f>IFERROR(I31/H31,0)</f>
        <v/>
      </c>
      <c r="K31" s="17">
        <f>MAX(0,1-J31)</f>
        <v/>
      </c>
      <c r="L31" s="18" t="n">
        <v>14782.04</v>
      </c>
      <c r="M31" s="16" t="n">
        <v>169.9</v>
      </c>
      <c r="N31" s="15">
        <f>M31+E31*2</f>
        <v/>
      </c>
      <c r="O31" s="17">
        <f>MIN(1.25,J31+15%)</f>
        <v/>
      </c>
      <c r="P31" s="17">
        <f>J31</f>
        <v/>
      </c>
      <c r="Q31" s="17">
        <f>MIN(1.25,O31*P31/90%)</f>
        <v/>
      </c>
    </row>
    <row r="32">
      <c r="A32" s="13" t="n">
        <v>27</v>
      </c>
      <c r="B32" s="14" t="inlineStr">
        <is>
          <t>MUHAMMAD ALMAS</t>
        </is>
      </c>
      <c r="C32" s="14" t="inlineStr">
        <is>
          <t>DENTER</t>
        </is>
      </c>
      <c r="D32" s="14" t="inlineStr">
        <is>
          <t>TN0128</t>
        </is>
      </c>
      <c r="E32" s="13" t="n">
        <v>26</v>
      </c>
      <c r="F32" s="15">
        <f>E32*8</f>
        <v/>
      </c>
      <c r="G32" s="16" t="n">
        <v>0</v>
      </c>
      <c r="H32" s="15">
        <f>F32+G32</f>
        <v/>
      </c>
      <c r="I32" s="16" t="n">
        <v>114.62</v>
      </c>
      <c r="J32" s="17">
        <f>IFERROR(I32/H32,0)</f>
        <v/>
      </c>
      <c r="K32" s="17">
        <f>MAX(0,1-J32)</f>
        <v/>
      </c>
      <c r="L32" s="18" t="n">
        <v>9760.780000000001</v>
      </c>
      <c r="M32" s="16" t="n">
        <v>114.62</v>
      </c>
      <c r="N32" s="15">
        <f>M32+E32*2</f>
        <v/>
      </c>
      <c r="O32" s="17">
        <f>MIN(1.25,J32+15%)</f>
        <v/>
      </c>
      <c r="P32" s="17">
        <f>J32</f>
        <v/>
      </c>
      <c r="Q32" s="17">
        <f>MIN(1.25,O32*P32/90%)</f>
        <v/>
      </c>
    </row>
    <row r="33">
      <c r="A33" s="13" t="n">
        <v>28</v>
      </c>
      <c r="B33" s="14" t="inlineStr">
        <is>
          <t>Zeshan</t>
        </is>
      </c>
      <c r="C33" s="14" t="inlineStr">
        <is>
          <t>DENTER</t>
        </is>
      </c>
      <c r="D33" s="14" t="inlineStr">
        <is>
          <t>TN0141</t>
        </is>
      </c>
      <c r="E33" s="13" t="n">
        <v>26</v>
      </c>
      <c r="F33" s="15">
        <f>E33*8</f>
        <v/>
      </c>
      <c r="G33" s="16" t="n">
        <v>0</v>
      </c>
      <c r="H33" s="15">
        <f>F33+G33</f>
        <v/>
      </c>
      <c r="I33" s="16" t="n">
        <v>194.51</v>
      </c>
      <c r="J33" s="17">
        <f>IFERROR(I33/H33,0)</f>
        <v/>
      </c>
      <c r="K33" s="17">
        <f>MAX(0,1-J33)</f>
        <v/>
      </c>
      <c r="L33" s="18" t="n">
        <v>16733.18</v>
      </c>
      <c r="M33" s="16" t="n">
        <v>194.51</v>
      </c>
      <c r="N33" s="15">
        <f>M33+E33*2</f>
        <v/>
      </c>
      <c r="O33" s="17">
        <f>MIN(1.25,J33+15%)</f>
        <v/>
      </c>
      <c r="P33" s="17">
        <f>J33</f>
        <v/>
      </c>
      <c r="Q33" s="17">
        <f>MIN(1.25,O33*P33/90%)</f>
        <v/>
      </c>
    </row>
    <row r="34">
      <c r="A34" s="13" t="n">
        <v>29</v>
      </c>
      <c r="B34" s="14" t="inlineStr">
        <is>
          <t>SAIDAB AHAMED</t>
        </is>
      </c>
      <c r="C34" s="14" t="inlineStr">
        <is>
          <t>TYRE TECHNICIAN</t>
        </is>
      </c>
      <c r="D34" s="14" t="inlineStr">
        <is>
          <t>TN0150</t>
        </is>
      </c>
      <c r="E34" s="13" t="n">
        <v>26</v>
      </c>
      <c r="F34" s="15">
        <f>E34*8</f>
        <v/>
      </c>
      <c r="G34" s="16" t="n">
        <v>0</v>
      </c>
      <c r="H34" s="15">
        <f>F34+G34</f>
        <v/>
      </c>
      <c r="I34" s="16" t="n">
        <v>170.35</v>
      </c>
      <c r="J34" s="17">
        <f>IFERROR(I34/H34,0)</f>
        <v/>
      </c>
      <c r="K34" s="17">
        <f>MAX(0,1-J34)</f>
        <v/>
      </c>
      <c r="L34" s="18" t="n">
        <v>14177.34</v>
      </c>
      <c r="M34" s="16" t="n">
        <v>170.35</v>
      </c>
      <c r="N34" s="15">
        <f>M34+E34*2</f>
        <v/>
      </c>
      <c r="O34" s="17">
        <f>MIN(1.25,J34+15%)</f>
        <v/>
      </c>
      <c r="P34" s="17">
        <f>J34</f>
        <v/>
      </c>
      <c r="Q34" s="17">
        <f>MIN(1.25,O34*P34/90%)</f>
        <v/>
      </c>
    </row>
    <row r="35">
      <c r="A35" s="13" t="n">
        <v>30</v>
      </c>
      <c r="B35" s="14" t="inlineStr">
        <is>
          <t>FRANCIS AGEWI</t>
        </is>
      </c>
      <c r="C35" s="14" t="inlineStr">
        <is>
          <t>MECHANIC</t>
        </is>
      </c>
      <c r="D35" s="14" t="inlineStr">
        <is>
          <t>TN0171</t>
        </is>
      </c>
      <c r="E35" s="13" t="n">
        <v>26</v>
      </c>
      <c r="F35" s="15">
        <f>E35*8</f>
        <v/>
      </c>
      <c r="G35" s="16" t="n">
        <v>0</v>
      </c>
      <c r="H35" s="15">
        <f>F35+G35</f>
        <v/>
      </c>
      <c r="I35" s="16" t="n">
        <v>191.08</v>
      </c>
      <c r="J35" s="17">
        <f>IFERROR(I35/H35,0)</f>
        <v/>
      </c>
      <c r="K35" s="17">
        <f>MAX(0,1-J35)</f>
        <v/>
      </c>
      <c r="L35" s="18" t="n">
        <v>16351.56</v>
      </c>
      <c r="M35" s="16" t="n">
        <v>191.08</v>
      </c>
      <c r="N35" s="15">
        <f>M35+E35*2</f>
        <v/>
      </c>
      <c r="O35" s="17">
        <f>MIN(1.25,J35+15%)</f>
        <v/>
      </c>
      <c r="P35" s="17">
        <f>J35</f>
        <v/>
      </c>
      <c r="Q35" s="17">
        <f>MIN(1.25,O35*P35/90%)</f>
        <v/>
      </c>
    </row>
    <row r="36">
      <c r="A36" s="13" t="n">
        <v>31</v>
      </c>
      <c r="B36" s="14" t="inlineStr">
        <is>
          <t>Ally Ibrahim</t>
        </is>
      </c>
      <c r="C36" s="14" t="inlineStr">
        <is>
          <t>DENTER</t>
        </is>
      </c>
      <c r="D36" s="14" t="inlineStr">
        <is>
          <t>TN0180</t>
        </is>
      </c>
      <c r="E36" s="13" t="n">
        <v>17</v>
      </c>
      <c r="F36" s="15">
        <f>E36*8</f>
        <v/>
      </c>
      <c r="G36" s="16" t="n">
        <v>0</v>
      </c>
      <c r="H36" s="15">
        <f>F36+G36</f>
        <v/>
      </c>
      <c r="I36" s="16" t="n">
        <v>36.86</v>
      </c>
      <c r="J36" s="17">
        <f>IFERROR(I36/H36,0)</f>
        <v/>
      </c>
      <c r="K36" s="17">
        <f>MAX(0,1-J36)</f>
        <v/>
      </c>
      <c r="L36" s="18" t="n">
        <v>3151.74</v>
      </c>
      <c r="M36" s="16" t="n">
        <v>36.86</v>
      </c>
      <c r="N36" s="15">
        <f>M36+E36*2</f>
        <v/>
      </c>
      <c r="O36" s="17">
        <f>MIN(1.25,J36+15%)</f>
        <v/>
      </c>
      <c r="P36" s="17">
        <f>J36</f>
        <v/>
      </c>
      <c r="Q36" s="17">
        <f>MIN(1.25,O36*P36/90%)</f>
        <v/>
      </c>
    </row>
    <row r="37">
      <c r="A37" s="13" t="n">
        <v>32</v>
      </c>
      <c r="B37" s="14" t="inlineStr">
        <is>
          <t>RATHEETH PANICHOTH</t>
        </is>
      </c>
      <c r="C37" s="14" t="inlineStr">
        <is>
          <t>ELECTRICIAN</t>
        </is>
      </c>
      <c r="D37" s="14" t="inlineStr">
        <is>
          <t>TN0181</t>
        </is>
      </c>
      <c r="E37" s="13" t="n">
        <v>26</v>
      </c>
      <c r="F37" s="15">
        <f>E37*8</f>
        <v/>
      </c>
      <c r="G37" s="16" t="n">
        <v>0</v>
      </c>
      <c r="H37" s="15">
        <f>F37+G37</f>
        <v/>
      </c>
      <c r="I37" s="16" t="n">
        <v>157.02</v>
      </c>
      <c r="J37" s="17">
        <f>IFERROR(I37/H37,0)</f>
        <v/>
      </c>
      <c r="K37" s="17">
        <f>MAX(0,1-J37)</f>
        <v/>
      </c>
      <c r="L37" s="18" t="n">
        <v>13254.86</v>
      </c>
      <c r="M37" s="16" t="n">
        <v>157.02</v>
      </c>
      <c r="N37" s="15">
        <f>M37+E37*2</f>
        <v/>
      </c>
      <c r="O37" s="17">
        <f>MIN(1.25,J37+15%)</f>
        <v/>
      </c>
      <c r="P37" s="17">
        <f>J37</f>
        <v/>
      </c>
      <c r="Q37" s="17">
        <f>MIN(1.25,O37*P37/90%)</f>
        <v/>
      </c>
    </row>
    <row r="38">
      <c r="A38" s="13" t="n">
        <v>33</v>
      </c>
      <c r="B38" s="14" t="inlineStr">
        <is>
          <t>MARK KAYIGO</t>
        </is>
      </c>
      <c r="C38" s="14" t="inlineStr">
        <is>
          <t>MECHANIC</t>
        </is>
      </c>
      <c r="D38" s="14" t="inlineStr">
        <is>
          <t>TN0182</t>
        </is>
      </c>
      <c r="E38" s="13" t="n">
        <v>24</v>
      </c>
      <c r="F38" s="15">
        <f>E38*8</f>
        <v/>
      </c>
      <c r="G38" s="16" t="n">
        <v>0</v>
      </c>
      <c r="H38" s="15">
        <f>F38+G38</f>
        <v/>
      </c>
      <c r="I38" s="16" t="n">
        <v>185.08</v>
      </c>
      <c r="J38" s="17">
        <f>IFERROR(I38/H38,0)</f>
        <v/>
      </c>
      <c r="K38" s="17">
        <f>MAX(0,1-J38)</f>
        <v/>
      </c>
      <c r="L38" s="18" t="n">
        <v>15470.14</v>
      </c>
      <c r="M38" s="16" t="n">
        <v>185.08</v>
      </c>
      <c r="N38" s="15">
        <f>M38+E38*2</f>
        <v/>
      </c>
      <c r="O38" s="17">
        <f>MIN(1.25,J38+15%)</f>
        <v/>
      </c>
      <c r="P38" s="17">
        <f>J38</f>
        <v/>
      </c>
      <c r="Q38" s="17">
        <f>MIN(1.25,O38*P38/90%)</f>
        <v/>
      </c>
    </row>
    <row r="39">
      <c r="A39" s="13" t="n">
        <v>34</v>
      </c>
      <c r="B39" s="14" t="inlineStr">
        <is>
          <t>ENAYAT SHAIKH ALI SHAIKH</t>
        </is>
      </c>
      <c r="C39" s="14" t="inlineStr">
        <is>
          <t>PAINTER</t>
        </is>
      </c>
      <c r="D39" s="14" t="inlineStr">
        <is>
          <t>TN0185</t>
        </is>
      </c>
      <c r="E39" s="13" t="n">
        <v>26</v>
      </c>
      <c r="F39" s="15">
        <f>E39*8</f>
        <v/>
      </c>
      <c r="G39" s="16" t="n">
        <v>1</v>
      </c>
      <c r="H39" s="15">
        <f>F39+G39</f>
        <v/>
      </c>
      <c r="I39" s="16" t="n">
        <v>153.59</v>
      </c>
      <c r="J39" s="17">
        <f>IFERROR(I39/H39,0)</f>
        <v/>
      </c>
      <c r="K39" s="17">
        <f>MAX(0,1-J39)</f>
        <v/>
      </c>
      <c r="L39" s="18" t="n">
        <v>12730.19</v>
      </c>
      <c r="M39" s="16" t="n">
        <v>153.59</v>
      </c>
      <c r="N39" s="15">
        <f>M39+E39*2</f>
        <v/>
      </c>
      <c r="O39" s="17">
        <f>MIN(1.25,J39+15%)</f>
        <v/>
      </c>
      <c r="P39" s="17">
        <f>J39</f>
        <v/>
      </c>
      <c r="Q39" s="17">
        <f>MIN(1.25,O39*P39/90%)</f>
        <v/>
      </c>
    </row>
    <row r="40">
      <c r="A40" s="13" t="n">
        <v>35</v>
      </c>
      <c r="B40" s="14" t="inlineStr">
        <is>
          <t>WAQAS GUL KHAN</t>
        </is>
      </c>
      <c r="C40" s="14" t="inlineStr">
        <is>
          <t>PAINTER</t>
        </is>
      </c>
      <c r="D40" s="14" t="inlineStr">
        <is>
          <t>TN0186</t>
        </is>
      </c>
      <c r="E40" s="13" t="n">
        <v>25</v>
      </c>
      <c r="F40" s="15">
        <f>E40*8</f>
        <v/>
      </c>
      <c r="G40" s="16" t="n">
        <v>2</v>
      </c>
      <c r="H40" s="15">
        <f>F40+G40</f>
        <v/>
      </c>
      <c r="I40" s="16" t="n">
        <v>162.84</v>
      </c>
      <c r="J40" s="17">
        <f>IFERROR(I40/H40,0)</f>
        <v/>
      </c>
      <c r="K40" s="17">
        <f>MAX(0,1-J40)</f>
        <v/>
      </c>
      <c r="L40" s="18" t="n">
        <v>14080.49</v>
      </c>
      <c r="M40" s="16" t="n">
        <v>162.84</v>
      </c>
      <c r="N40" s="15">
        <f>M40+E40*2</f>
        <v/>
      </c>
      <c r="O40" s="17">
        <f>MIN(1.25,J40+15%)</f>
        <v/>
      </c>
      <c r="P40" s="17">
        <f>J40</f>
        <v/>
      </c>
      <c r="Q40" s="17">
        <f>MIN(1.25,O40*P40/90%)</f>
        <v/>
      </c>
    </row>
    <row r="41">
      <c r="A41" s="13" t="n">
        <v>36</v>
      </c>
      <c r="B41" s="14" t="inlineStr">
        <is>
          <t>FARHAN AHAMAD</t>
        </is>
      </c>
      <c r="C41" s="14" t="inlineStr">
        <is>
          <t>MECHANIC</t>
        </is>
      </c>
      <c r="D41" s="14" t="inlineStr">
        <is>
          <t>TN0187</t>
        </is>
      </c>
      <c r="E41" s="13" t="n">
        <v>26</v>
      </c>
      <c r="F41" s="15">
        <f>E41*8</f>
        <v/>
      </c>
      <c r="G41" s="16" t="n">
        <v>0</v>
      </c>
      <c r="H41" s="15">
        <f>F41+G41</f>
        <v/>
      </c>
      <c r="I41" s="16" t="n">
        <v>197.82</v>
      </c>
      <c r="J41" s="17">
        <f>IFERROR(I41/H41,0)</f>
        <v/>
      </c>
      <c r="K41" s="17">
        <f>MAX(0,1-J41)</f>
        <v/>
      </c>
      <c r="L41" s="18" t="n">
        <v>16435.02</v>
      </c>
      <c r="M41" s="16" t="n">
        <v>197.82</v>
      </c>
      <c r="N41" s="15">
        <f>M41+E41*2</f>
        <v/>
      </c>
      <c r="O41" s="17">
        <f>MIN(1.25,J41+15%)</f>
        <v/>
      </c>
      <c r="P41" s="17">
        <f>J41</f>
        <v/>
      </c>
      <c r="Q41" s="17">
        <f>MIN(1.25,O41*P41/90%)</f>
        <v/>
      </c>
    </row>
    <row r="42">
      <c r="A42" s="13" t="n">
        <v>37</v>
      </c>
      <c r="B42" s="14" t="inlineStr">
        <is>
          <t>ABDELILAH BOUDINA</t>
        </is>
      </c>
      <c r="C42" s="14" t="inlineStr">
        <is>
          <t>PAINTER</t>
        </is>
      </c>
      <c r="D42" s="14" t="inlineStr">
        <is>
          <t>TN0201</t>
        </is>
      </c>
      <c r="E42" s="13" t="n">
        <v>2</v>
      </c>
      <c r="F42" s="15">
        <f>E42*8</f>
        <v/>
      </c>
      <c r="G42" s="16" t="n">
        <v>2</v>
      </c>
      <c r="H42" s="15">
        <f>F42+G42</f>
        <v/>
      </c>
      <c r="I42" s="16" t="n">
        <v>1.44</v>
      </c>
      <c r="J42" s="17">
        <f>IFERROR(I42/H42,0)</f>
        <v/>
      </c>
      <c r="K42" s="17">
        <f>MAX(0,1-J42)</f>
        <v/>
      </c>
      <c r="L42" s="18" t="n">
        <v>121.81</v>
      </c>
      <c r="M42" s="16" t="n">
        <v>1.44</v>
      </c>
      <c r="N42" s="15">
        <f>M42+E42*2</f>
        <v/>
      </c>
      <c r="O42" s="17">
        <f>MIN(1.25,J42+15%)</f>
        <v/>
      </c>
      <c r="P42" s="17">
        <f>J42</f>
        <v/>
      </c>
      <c r="Q42" s="17">
        <f>MIN(1.25,O42*P42/90%)</f>
        <v/>
      </c>
    </row>
    <row r="43">
      <c r="A43" s="13" t="n">
        <v>38</v>
      </c>
      <c r="B43" s="14" t="inlineStr">
        <is>
          <t>Jerin Kurian Varghese</t>
        </is>
      </c>
      <c r="C43" s="14" t="inlineStr">
        <is>
          <t>MECHANIC</t>
        </is>
      </c>
      <c r="D43" s="14" t="inlineStr">
        <is>
          <t>TN0204</t>
        </is>
      </c>
      <c r="E43" s="13" t="n">
        <v>23</v>
      </c>
      <c r="F43" s="15">
        <f>E43*8</f>
        <v/>
      </c>
      <c r="G43" s="16" t="n">
        <v>0</v>
      </c>
      <c r="H43" s="15">
        <f>F43+G43</f>
        <v/>
      </c>
      <c r="I43" s="16" t="n">
        <v>161.51</v>
      </c>
      <c r="J43" s="17">
        <f>IFERROR(I43/H43,0)</f>
        <v/>
      </c>
      <c r="K43" s="17">
        <f>MAX(0,1-J43)</f>
        <v/>
      </c>
      <c r="L43" s="18" t="n">
        <v>13447.06</v>
      </c>
      <c r="M43" s="16" t="n">
        <v>161.51</v>
      </c>
      <c r="N43" s="15">
        <f>M43+E43*2</f>
        <v/>
      </c>
      <c r="O43" s="17">
        <f>MIN(1.25,J43+15%)</f>
        <v/>
      </c>
      <c r="P43" s="17">
        <f>J43</f>
        <v/>
      </c>
      <c r="Q43" s="17">
        <f>MIN(1.25,O43*P43/90%)</f>
        <v/>
      </c>
    </row>
    <row r="44">
      <c r="A44" s="13" t="n">
        <v>39</v>
      </c>
      <c r="B44" s="14" t="inlineStr">
        <is>
          <t>Mohammed Monjur</t>
        </is>
      </c>
      <c r="C44" s="14" t="inlineStr">
        <is>
          <t>MECHANIC</t>
        </is>
      </c>
      <c r="D44" s="14" t="inlineStr">
        <is>
          <t>TN0209</t>
        </is>
      </c>
      <c r="E44" s="13" t="n">
        <v>24</v>
      </c>
      <c r="F44" s="15">
        <f>E44*8</f>
        <v/>
      </c>
      <c r="G44" s="16" t="n">
        <v>0</v>
      </c>
      <c r="H44" s="15">
        <f>F44+G44</f>
        <v/>
      </c>
      <c r="I44" s="16" t="n">
        <v>176.26</v>
      </c>
      <c r="J44" s="17">
        <f>IFERROR(I44/H44,0)</f>
        <v/>
      </c>
      <c r="K44" s="17">
        <f>MAX(0,1-J44)</f>
        <v/>
      </c>
      <c r="L44" s="18" t="n">
        <v>14695.02</v>
      </c>
      <c r="M44" s="16" t="n">
        <v>176.26</v>
      </c>
      <c r="N44" s="15">
        <f>M44+E44*2</f>
        <v/>
      </c>
      <c r="O44" s="17">
        <f>MIN(1.25,J44+15%)</f>
        <v/>
      </c>
      <c r="P44" s="17">
        <f>J44</f>
        <v/>
      </c>
      <c r="Q44" s="17">
        <f>MIN(1.25,O44*P44/90%)</f>
        <v/>
      </c>
    </row>
    <row r="45">
      <c r="A45" s="13" t="n">
        <v>40</v>
      </c>
      <c r="B45" s="14" t="inlineStr">
        <is>
          <t>ZEGER HAYAT MOHAMMAD ZA</t>
        </is>
      </c>
      <c r="C45" s="14" t="inlineStr">
        <is>
          <t>MECHANIC</t>
        </is>
      </c>
      <c r="D45" s="14" t="inlineStr">
        <is>
          <t>TN0210</t>
        </is>
      </c>
      <c r="E45" s="13" t="n">
        <v>26</v>
      </c>
      <c r="F45" s="15">
        <f>E45*8</f>
        <v/>
      </c>
      <c r="G45" s="16" t="n">
        <v>0</v>
      </c>
      <c r="H45" s="15">
        <f>F45+G45</f>
        <v/>
      </c>
      <c r="I45" s="16" t="n">
        <v>140.11</v>
      </c>
      <c r="J45" s="17">
        <f>IFERROR(I45/H45,0)</f>
        <v/>
      </c>
      <c r="K45" s="17">
        <f>MAX(0,1-J45)</f>
        <v/>
      </c>
      <c r="L45" s="18" t="n">
        <v>12007.42</v>
      </c>
      <c r="M45" s="16" t="n">
        <v>140.11</v>
      </c>
      <c r="N45" s="15">
        <f>M45+E45*2</f>
        <v/>
      </c>
      <c r="O45" s="17">
        <f>MIN(1.25,J45+15%)</f>
        <v/>
      </c>
      <c r="P45" s="17">
        <f>J45</f>
        <v/>
      </c>
      <c r="Q45" s="17">
        <f>MIN(1.25,O45*P45/90%)</f>
        <v/>
      </c>
    </row>
    <row r="46">
      <c r="A46" s="13" t="n">
        <v>41</v>
      </c>
      <c r="B46" s="14" t="inlineStr">
        <is>
          <t>BIJU M UNNI</t>
        </is>
      </c>
      <c r="C46" s="14" t="inlineStr">
        <is>
          <t>PAINTER</t>
        </is>
      </c>
      <c r="D46" s="14" t="inlineStr">
        <is>
          <t>TN0220</t>
        </is>
      </c>
      <c r="E46" s="13" t="n">
        <v>25</v>
      </c>
      <c r="F46" s="15">
        <f>E46*8</f>
        <v/>
      </c>
      <c r="G46" s="16" t="n">
        <v>1</v>
      </c>
      <c r="H46" s="15">
        <f>F46+G46</f>
        <v/>
      </c>
      <c r="I46" s="16" t="n">
        <v>111.99</v>
      </c>
      <c r="J46" s="17">
        <f>IFERROR(I46/H46,0)</f>
        <v/>
      </c>
      <c r="K46" s="17">
        <f>MAX(0,1-J46)</f>
        <v/>
      </c>
      <c r="L46" s="18" t="n">
        <v>9491.129999999999</v>
      </c>
      <c r="M46" s="16" t="n">
        <v>111.99</v>
      </c>
      <c r="N46" s="15">
        <f>M46+E46*2</f>
        <v/>
      </c>
      <c r="O46" s="17">
        <f>MIN(1.25,J46+15%)</f>
        <v/>
      </c>
      <c r="P46" s="17">
        <f>J46</f>
        <v/>
      </c>
      <c r="Q46" s="17">
        <f>MIN(1.25,O46*P46/90%)</f>
        <v/>
      </c>
    </row>
    <row r="47">
      <c r="A47" s="13" t="n">
        <v>42</v>
      </c>
      <c r="B47" s="14" t="inlineStr">
        <is>
          <t>DIBAKAR SAHOO MURALDHAR</t>
        </is>
      </c>
      <c r="C47" s="14" t="inlineStr">
        <is>
          <t>PAINTER</t>
        </is>
      </c>
      <c r="D47" s="14" t="inlineStr">
        <is>
          <t>TN0222</t>
        </is>
      </c>
      <c r="E47" s="13" t="n">
        <v>24</v>
      </c>
      <c r="F47" s="15">
        <f>E47*8</f>
        <v/>
      </c>
      <c r="G47" s="16" t="n">
        <v>1</v>
      </c>
      <c r="H47" s="15">
        <f>F47+G47</f>
        <v/>
      </c>
      <c r="I47" s="16" t="n">
        <v>165.89</v>
      </c>
      <c r="J47" s="17">
        <f>IFERROR(I47/H47,0)</f>
        <v/>
      </c>
      <c r="K47" s="17">
        <f>MAX(0,1-J47)</f>
        <v/>
      </c>
      <c r="L47" s="18" t="n">
        <v>14212.82</v>
      </c>
      <c r="M47" s="16" t="n">
        <v>165.89</v>
      </c>
      <c r="N47" s="15">
        <f>M47+E47*2</f>
        <v/>
      </c>
      <c r="O47" s="17">
        <f>MIN(1.25,J47+15%)</f>
        <v/>
      </c>
      <c r="P47" s="17">
        <f>J47</f>
        <v/>
      </c>
      <c r="Q47" s="17">
        <f>MIN(1.25,O47*P47/90%)</f>
        <v/>
      </c>
    </row>
    <row r="48">
      <c r="A48" s="13" t="n">
        <v>43</v>
      </c>
      <c r="B48" s="14" t="inlineStr">
        <is>
          <t>SHAIKH MUSTAQUE ALI</t>
        </is>
      </c>
      <c r="C48" s="14" t="inlineStr">
        <is>
          <t>DENTER</t>
        </is>
      </c>
      <c r="D48" s="14" t="inlineStr">
        <is>
          <t>TN0224</t>
        </is>
      </c>
      <c r="E48" s="13" t="n">
        <v>25</v>
      </c>
      <c r="F48" s="15">
        <f>E48*8</f>
        <v/>
      </c>
      <c r="G48" s="16" t="n">
        <v>0</v>
      </c>
      <c r="H48" s="15">
        <f>F48+G48</f>
        <v/>
      </c>
      <c r="I48" s="16" t="n">
        <v>160.31</v>
      </c>
      <c r="J48" s="17">
        <f>IFERROR(I48/H48,0)</f>
        <v/>
      </c>
      <c r="K48" s="17">
        <f>MAX(0,1-J48)</f>
        <v/>
      </c>
      <c r="L48" s="18" t="n">
        <v>13394.74</v>
      </c>
      <c r="M48" s="16" t="n">
        <v>160.31</v>
      </c>
      <c r="N48" s="15">
        <f>M48+E48*2</f>
        <v/>
      </c>
      <c r="O48" s="17">
        <f>MIN(1.25,J48+15%)</f>
        <v/>
      </c>
      <c r="P48" s="17">
        <f>J48</f>
        <v/>
      </c>
      <c r="Q48" s="17">
        <f>MIN(1.25,O48*P48/90%)</f>
        <v/>
      </c>
    </row>
    <row r="49">
      <c r="A49" s="13" t="n">
        <v>44</v>
      </c>
      <c r="B49" s="14" t="inlineStr">
        <is>
          <t>ZEESHAN IHSAN ULLAH</t>
        </is>
      </c>
      <c r="C49" s="14" t="inlineStr">
        <is>
          <t>DENTER</t>
        </is>
      </c>
      <c r="D49" s="14" t="inlineStr">
        <is>
          <t>TN0226</t>
        </is>
      </c>
      <c r="E49" s="13" t="n">
        <v>24</v>
      </c>
      <c r="F49" s="15">
        <f>E49*8</f>
        <v/>
      </c>
      <c r="G49" s="16" t="n">
        <v>0</v>
      </c>
      <c r="H49" s="15">
        <f>F49+G49</f>
        <v/>
      </c>
      <c r="I49" s="16" t="n">
        <v>167.19</v>
      </c>
      <c r="J49" s="17">
        <f>IFERROR(I49/H49,0)</f>
        <v/>
      </c>
      <c r="K49" s="17">
        <f>MAX(0,1-J49)</f>
        <v/>
      </c>
      <c r="L49" s="18" t="n">
        <v>14385.29</v>
      </c>
      <c r="M49" s="16" t="n">
        <v>167.19</v>
      </c>
      <c r="N49" s="15">
        <f>M49+E49*2</f>
        <v/>
      </c>
      <c r="O49" s="17">
        <f>MIN(1.25,J49+15%)</f>
        <v/>
      </c>
      <c r="P49" s="17">
        <f>J49</f>
        <v/>
      </c>
      <c r="Q49" s="17">
        <f>MIN(1.25,O49*P49/90%)</f>
        <v/>
      </c>
    </row>
    <row r="50">
      <c r="A50" s="13" t="n">
        <v>45</v>
      </c>
      <c r="B50" s="14" t="inlineStr">
        <is>
          <t>MIR EJAJ ALI</t>
        </is>
      </c>
      <c r="C50" s="14" t="inlineStr">
        <is>
          <t>PAINTER</t>
        </is>
      </c>
      <c r="D50" s="14" t="inlineStr">
        <is>
          <t>TN0227</t>
        </is>
      </c>
      <c r="E50" s="13" t="n">
        <v>19</v>
      </c>
      <c r="F50" s="15">
        <f>E50*8</f>
        <v/>
      </c>
      <c r="G50" s="16" t="n">
        <v>1</v>
      </c>
      <c r="H50" s="15">
        <f>F50+G50</f>
        <v/>
      </c>
      <c r="I50" s="16" t="n">
        <v>113.43</v>
      </c>
      <c r="J50" s="17">
        <f>IFERROR(I50/H50,0)</f>
        <v/>
      </c>
      <c r="K50" s="17">
        <f>MAX(0,1-J50)</f>
        <v/>
      </c>
      <c r="L50" s="18" t="n">
        <v>9695.030000000001</v>
      </c>
      <c r="M50" s="16" t="n">
        <v>113.43</v>
      </c>
      <c r="N50" s="15">
        <f>M50+E50*2</f>
        <v/>
      </c>
      <c r="O50" s="17">
        <f>MIN(1.25,J50+15%)</f>
        <v/>
      </c>
      <c r="P50" s="17">
        <f>J50</f>
        <v/>
      </c>
      <c r="Q50" s="17">
        <f>MIN(1.25,O50*P50/90%)</f>
        <v/>
      </c>
    </row>
    <row r="51">
      <c r="A51" s="13" t="n">
        <v>46</v>
      </c>
      <c r="B51" s="14" t="inlineStr">
        <is>
          <t>SAMUEL</t>
        </is>
      </c>
      <c r="C51" s="14" t="inlineStr">
        <is>
          <t>MECHANIC</t>
        </is>
      </c>
      <c r="D51" s="14" t="inlineStr">
        <is>
          <t>TN0235</t>
        </is>
      </c>
      <c r="E51" s="13" t="n">
        <v>25</v>
      </c>
      <c r="F51" s="15">
        <f>E51*8</f>
        <v/>
      </c>
      <c r="G51" s="16" t="n">
        <v>4</v>
      </c>
      <c r="H51" s="15">
        <f>F51+G51</f>
        <v/>
      </c>
      <c r="I51" s="16" t="n">
        <v>152.38</v>
      </c>
      <c r="J51" s="17">
        <f>IFERROR(I51/H51,0)</f>
        <v/>
      </c>
      <c r="K51" s="17">
        <f>MAX(0,1-J51)</f>
        <v/>
      </c>
      <c r="L51" s="18" t="n">
        <v>12985.19</v>
      </c>
      <c r="M51" s="16" t="n">
        <v>152.38</v>
      </c>
      <c r="N51" s="15">
        <f>M51+E51*2</f>
        <v/>
      </c>
      <c r="O51" s="17">
        <f>MIN(1.25,J51+15%)</f>
        <v/>
      </c>
      <c r="P51" s="17">
        <f>J51</f>
        <v/>
      </c>
      <c r="Q51" s="17">
        <f>MIN(1.25,O51*P51/90%)</f>
        <v/>
      </c>
    </row>
    <row r="52">
      <c r="A52" s="13" t="n">
        <v>47</v>
      </c>
      <c r="B52" s="14" t="inlineStr">
        <is>
          <t>BILAL KHAN</t>
        </is>
      </c>
      <c r="C52" s="14" t="inlineStr">
        <is>
          <t>DENTER</t>
        </is>
      </c>
      <c r="D52" s="14" t="inlineStr">
        <is>
          <t>TN0236</t>
        </is>
      </c>
      <c r="E52" s="13" t="n">
        <v>25</v>
      </c>
      <c r="F52" s="15">
        <f>E52*8</f>
        <v/>
      </c>
      <c r="G52" s="16" t="n">
        <v>4</v>
      </c>
      <c r="H52" s="15">
        <f>F52+G52</f>
        <v/>
      </c>
      <c r="I52" s="16" t="n">
        <v>168.4</v>
      </c>
      <c r="J52" s="17">
        <f>IFERROR(I52/H52,0)</f>
        <v/>
      </c>
      <c r="K52" s="17">
        <f>MAX(0,1-J52)</f>
        <v/>
      </c>
      <c r="L52" s="18" t="n">
        <v>14334.13</v>
      </c>
      <c r="M52" s="16" t="n">
        <v>168.4</v>
      </c>
      <c r="N52" s="15">
        <f>M52+E52*2</f>
        <v/>
      </c>
      <c r="O52" s="17">
        <f>MIN(1.25,J52+15%)</f>
        <v/>
      </c>
      <c r="P52" s="17">
        <f>J52</f>
        <v/>
      </c>
      <c r="Q52" s="17">
        <f>MIN(1.25,O52*P52/90%)</f>
        <v/>
      </c>
    </row>
    <row r="53">
      <c r="A53" s="13" t="n">
        <v>48</v>
      </c>
      <c r="B53" s="14" t="inlineStr">
        <is>
          <t>Mohammad Habib Raza</t>
        </is>
      </c>
      <c r="C53" s="14" t="inlineStr">
        <is>
          <t>MECHANIC</t>
        </is>
      </c>
      <c r="D53" s="14" t="inlineStr">
        <is>
          <t>TN0238</t>
        </is>
      </c>
      <c r="E53" s="13" t="n">
        <v>26</v>
      </c>
      <c r="F53" s="15">
        <f>E53*8</f>
        <v/>
      </c>
      <c r="G53" s="16" t="n">
        <v>4</v>
      </c>
      <c r="H53" s="15">
        <f>F53+G53</f>
        <v/>
      </c>
      <c r="I53" s="16" t="n">
        <v>210.94</v>
      </c>
      <c r="J53" s="17">
        <f>IFERROR(I53/H53,0)</f>
        <v/>
      </c>
      <c r="K53" s="17">
        <f>MAX(0,1-J53)</f>
        <v/>
      </c>
      <c r="L53" s="18" t="n">
        <v>18220.27</v>
      </c>
      <c r="M53" s="16" t="n">
        <v>210.94</v>
      </c>
      <c r="N53" s="15">
        <f>M53+E53*2</f>
        <v/>
      </c>
      <c r="O53" s="17">
        <f>MIN(1.25,J53+15%)</f>
        <v/>
      </c>
      <c r="P53" s="17">
        <f>J53</f>
        <v/>
      </c>
      <c r="Q53" s="17">
        <f>MIN(1.25,O53*P53/90%)</f>
        <v/>
      </c>
    </row>
    <row r="54">
      <c r="A54" s="13" t="n">
        <v>49</v>
      </c>
      <c r="B54" s="14" t="inlineStr">
        <is>
          <t>HAMEED ANIYAMPARAMBIL</t>
        </is>
      </c>
      <c r="C54" s="14" t="inlineStr">
        <is>
          <t>MECHANIC</t>
        </is>
      </c>
      <c r="D54" s="14" t="inlineStr">
        <is>
          <t>TN0239</t>
        </is>
      </c>
      <c r="E54" s="13" t="n">
        <v>24</v>
      </c>
      <c r="F54" s="15">
        <f>E54*8</f>
        <v/>
      </c>
      <c r="G54" s="16" t="n">
        <v>0</v>
      </c>
      <c r="H54" s="15">
        <f>F54+G54</f>
        <v/>
      </c>
      <c r="I54" s="16" t="n">
        <v>121.91</v>
      </c>
      <c r="J54" s="17">
        <f>IFERROR(I54/H54,0)</f>
        <v/>
      </c>
      <c r="K54" s="17">
        <f>MAX(0,1-J54)</f>
        <v/>
      </c>
      <c r="L54" s="18" t="n">
        <v>10486.76</v>
      </c>
      <c r="M54" s="16" t="n">
        <v>121.91</v>
      </c>
      <c r="N54" s="15">
        <f>M54+E54*2</f>
        <v/>
      </c>
      <c r="O54" s="17">
        <f>MIN(1.25,J54+15%)</f>
        <v/>
      </c>
      <c r="P54" s="17">
        <f>J54</f>
        <v/>
      </c>
      <c r="Q54" s="17">
        <f>MIN(1.25,O54*P54/90%)</f>
        <v/>
      </c>
    </row>
    <row r="55">
      <c r="A55" s="13" t="n">
        <v>50</v>
      </c>
      <c r="B55" s="14" t="inlineStr">
        <is>
          <t>AMIR HUSSAIN MUHAMMED</t>
        </is>
      </c>
      <c r="C55" s="14" t="inlineStr">
        <is>
          <t>MECHANIC</t>
        </is>
      </c>
      <c r="D55" s="14" t="inlineStr">
        <is>
          <t>TN0241</t>
        </is>
      </c>
      <c r="E55" s="13" t="n">
        <v>26</v>
      </c>
      <c r="F55" s="15">
        <f>E55*8</f>
        <v/>
      </c>
      <c r="G55" s="16" t="n">
        <v>0</v>
      </c>
      <c r="H55" s="15">
        <f>F55+G55</f>
        <v/>
      </c>
      <c r="I55" s="16" t="n">
        <v>192.58</v>
      </c>
      <c r="J55" s="17">
        <f>IFERROR(I55/H55,0)</f>
        <v/>
      </c>
      <c r="K55" s="17">
        <f>MAX(0,1-J55)</f>
        <v/>
      </c>
      <c r="L55" s="18" t="n">
        <v>16408.28</v>
      </c>
      <c r="M55" s="16" t="n">
        <v>192.58</v>
      </c>
      <c r="N55" s="15">
        <f>M55+E55*2</f>
        <v/>
      </c>
      <c r="O55" s="17">
        <f>MIN(1.25,J55+15%)</f>
        <v/>
      </c>
      <c r="P55" s="17">
        <f>J55</f>
        <v/>
      </c>
      <c r="Q55" s="17">
        <f>MIN(1.25,O55*P55/90%)</f>
        <v/>
      </c>
    </row>
    <row r="56">
      <c r="A56" s="13" t="n">
        <v>51</v>
      </c>
      <c r="B56" s="14" t="inlineStr">
        <is>
          <t>LUBAB UDDIN</t>
        </is>
      </c>
      <c r="C56" s="14" t="inlineStr">
        <is>
          <t>DENTER</t>
        </is>
      </c>
      <c r="D56" s="14" t="inlineStr">
        <is>
          <t>TN0242</t>
        </is>
      </c>
      <c r="E56" s="13" t="n">
        <v>23</v>
      </c>
      <c r="F56" s="15">
        <f>E56*8</f>
        <v/>
      </c>
      <c r="G56" s="16" t="n">
        <v>0</v>
      </c>
      <c r="H56" s="15">
        <f>F56+G56</f>
        <v/>
      </c>
      <c r="I56" s="16" t="n">
        <v>130.79</v>
      </c>
      <c r="J56" s="17">
        <f>IFERROR(I56/H56,0)</f>
        <v/>
      </c>
      <c r="K56" s="17">
        <f>MAX(0,1-J56)</f>
        <v/>
      </c>
      <c r="L56" s="18" t="n">
        <v>10993.91</v>
      </c>
      <c r="M56" s="16" t="n">
        <v>130.79</v>
      </c>
      <c r="N56" s="15">
        <f>M56+E56*2</f>
        <v/>
      </c>
      <c r="O56" s="17">
        <f>MIN(1.25,J56+15%)</f>
        <v/>
      </c>
      <c r="P56" s="17">
        <f>J56</f>
        <v/>
      </c>
      <c r="Q56" s="17">
        <f>MIN(1.25,O56*P56/90%)</f>
        <v/>
      </c>
    </row>
    <row r="57">
      <c r="A57" s="13" t="n">
        <v>52</v>
      </c>
      <c r="B57" s="14" t="inlineStr">
        <is>
          <t>MOHAMMED ALI</t>
        </is>
      </c>
      <c r="C57" s="14" t="inlineStr">
        <is>
          <t>DENTER</t>
        </is>
      </c>
      <c r="D57" s="14" t="inlineStr">
        <is>
          <t>TN0244</t>
        </is>
      </c>
      <c r="E57" s="13" t="n">
        <v>26</v>
      </c>
      <c r="F57" s="15">
        <f>E57*8</f>
        <v/>
      </c>
      <c r="G57" s="16" t="n">
        <v>0</v>
      </c>
      <c r="H57" s="15">
        <f>F57+G57</f>
        <v/>
      </c>
      <c r="I57" s="16" t="n">
        <v>146.21</v>
      </c>
      <c r="J57" s="17">
        <f>IFERROR(I57/H57,0)</f>
        <v/>
      </c>
      <c r="K57" s="17">
        <f>MAX(0,1-J57)</f>
        <v/>
      </c>
      <c r="L57" s="18" t="n">
        <v>12497.2</v>
      </c>
      <c r="M57" s="16" t="n">
        <v>146.21</v>
      </c>
      <c r="N57" s="15">
        <f>M57+E57*2</f>
        <v/>
      </c>
      <c r="O57" s="17">
        <f>MIN(1.25,J57+15%)</f>
        <v/>
      </c>
      <c r="P57" s="17">
        <f>J57</f>
        <v/>
      </c>
      <c r="Q57" s="17">
        <f>MIN(1.25,O57*P57/90%)</f>
        <v/>
      </c>
    </row>
    <row r="58">
      <c r="A58" s="13" t="n">
        <v>53</v>
      </c>
      <c r="B58" s="14" t="inlineStr">
        <is>
          <t>MAHMOUD MOHAMED MAHDY</t>
        </is>
      </c>
      <c r="C58" s="14" t="inlineStr">
        <is>
          <t>DENTER</t>
        </is>
      </c>
      <c r="D58" s="14" t="inlineStr">
        <is>
          <t>TN0245</t>
        </is>
      </c>
      <c r="E58" s="13" t="n">
        <v>26</v>
      </c>
      <c r="F58" s="15">
        <f>E58*8</f>
        <v/>
      </c>
      <c r="G58" s="16" t="n">
        <v>0</v>
      </c>
      <c r="H58" s="15">
        <f>F58+G58</f>
        <v/>
      </c>
      <c r="I58" s="16" t="n">
        <v>151.51</v>
      </c>
      <c r="J58" s="17">
        <f>IFERROR(I58/H58,0)</f>
        <v/>
      </c>
      <c r="K58" s="17">
        <f>MAX(0,1-J58)</f>
        <v/>
      </c>
      <c r="L58" s="18" t="n">
        <v>12678.6</v>
      </c>
      <c r="M58" s="16" t="n">
        <v>151.51</v>
      </c>
      <c r="N58" s="15">
        <f>M58+E58*2</f>
        <v/>
      </c>
      <c r="O58" s="17">
        <f>MIN(1.25,J58+15%)</f>
        <v/>
      </c>
      <c r="P58" s="17">
        <f>J58</f>
        <v/>
      </c>
      <c r="Q58" s="17">
        <f>MIN(1.25,O58*P58/90%)</f>
        <v/>
      </c>
    </row>
    <row r="59">
      <c r="A59" s="13" t="n">
        <v>54</v>
      </c>
      <c r="B59" s="14" t="inlineStr">
        <is>
          <t>DIN DAYAL</t>
        </is>
      </c>
      <c r="C59" s="14" t="inlineStr">
        <is>
          <t>ELECTRICIAN</t>
        </is>
      </c>
      <c r="D59" s="14" t="inlineStr">
        <is>
          <t>TN0247</t>
        </is>
      </c>
      <c r="E59" s="13" t="n">
        <v>23</v>
      </c>
      <c r="F59" s="15">
        <f>E59*8</f>
        <v/>
      </c>
      <c r="G59" s="16" t="n">
        <v>0</v>
      </c>
      <c r="H59" s="15">
        <f>F59+G59</f>
        <v/>
      </c>
      <c r="I59" s="16" t="n">
        <v>85.37</v>
      </c>
      <c r="J59" s="17">
        <f>IFERROR(I59/H59,0)</f>
        <v/>
      </c>
      <c r="K59" s="17">
        <f>MAX(0,1-J59)</f>
        <v/>
      </c>
      <c r="L59" s="18" t="n">
        <v>7094.77</v>
      </c>
      <c r="M59" s="16" t="n">
        <v>85.37</v>
      </c>
      <c r="N59" s="15">
        <f>M59+E59*2</f>
        <v/>
      </c>
      <c r="O59" s="17">
        <f>MIN(1.25,J59+15%)</f>
        <v/>
      </c>
      <c r="P59" s="17">
        <f>J59</f>
        <v/>
      </c>
      <c r="Q59" s="17">
        <f>MIN(1.25,O59*P59/90%)</f>
        <v/>
      </c>
    </row>
    <row r="60">
      <c r="A60" s="13" t="n">
        <v>55</v>
      </c>
      <c r="B60" s="14" t="inlineStr">
        <is>
          <t>KAMAL HUSSAIN</t>
        </is>
      </c>
      <c r="C60" s="14" t="inlineStr">
        <is>
          <t>MECHANIC</t>
        </is>
      </c>
      <c r="D60" s="14" t="inlineStr">
        <is>
          <t>TN0248</t>
        </is>
      </c>
      <c r="E60" s="13" t="n">
        <v>26</v>
      </c>
      <c r="F60" s="15">
        <f>E60*8</f>
        <v/>
      </c>
      <c r="G60" s="16" t="n">
        <v>4</v>
      </c>
      <c r="H60" s="15">
        <f>F60+G60</f>
        <v/>
      </c>
      <c r="I60" s="16" t="n">
        <v>187.89</v>
      </c>
      <c r="J60" s="17">
        <f>IFERROR(I60/H60,0)</f>
        <v/>
      </c>
      <c r="K60" s="17">
        <f>MAX(0,1-J60)</f>
        <v/>
      </c>
      <c r="L60" s="18" t="n">
        <v>16063.03</v>
      </c>
      <c r="M60" s="16" t="n">
        <v>187.89</v>
      </c>
      <c r="N60" s="15">
        <f>M60+E60*2</f>
        <v/>
      </c>
      <c r="O60" s="17">
        <f>MIN(1.25,J60+15%)</f>
        <v/>
      </c>
      <c r="P60" s="17">
        <f>J60</f>
        <v/>
      </c>
      <c r="Q60" s="17">
        <f>MIN(1.25,O60*P60/90%)</f>
        <v/>
      </c>
    </row>
    <row r="61">
      <c r="A61" s="13" t="n">
        <v>56</v>
      </c>
      <c r="B61" s="14" t="inlineStr">
        <is>
          <t>RAIS MUHAMMAD KHAN YAR</t>
        </is>
      </c>
      <c r="C61" s="14" t="inlineStr">
        <is>
          <t>PAINTER</t>
        </is>
      </c>
      <c r="D61" s="14" t="inlineStr">
        <is>
          <t>TN0250</t>
        </is>
      </c>
      <c r="E61" s="13" t="n">
        <v>12</v>
      </c>
      <c r="F61" s="15">
        <f>E61*8</f>
        <v/>
      </c>
      <c r="G61" s="16" t="n">
        <v>2</v>
      </c>
      <c r="H61" s="15">
        <f>F61+G61</f>
        <v/>
      </c>
      <c r="I61" s="16" t="n">
        <v>61.36</v>
      </c>
      <c r="J61" s="17">
        <f>IFERROR(I61/H61,0)</f>
        <v/>
      </c>
      <c r="K61" s="17">
        <f>MAX(0,1-J61)</f>
        <v/>
      </c>
      <c r="L61" s="18" t="n">
        <v>5135.45</v>
      </c>
      <c r="M61" s="16" t="n">
        <v>61.36</v>
      </c>
      <c r="N61" s="15">
        <f>M61+E61*2</f>
        <v/>
      </c>
      <c r="O61" s="17">
        <f>MIN(1.25,J61+15%)</f>
        <v/>
      </c>
      <c r="P61" s="17">
        <f>J61</f>
        <v/>
      </c>
      <c r="Q61" s="17">
        <f>MIN(1.25,O61*P61/90%)</f>
        <v/>
      </c>
    </row>
    <row r="62">
      <c r="A62" s="13" t="n">
        <v>57</v>
      </c>
      <c r="B62" s="14" t="inlineStr">
        <is>
          <t>RAJEEVAN</t>
        </is>
      </c>
      <c r="C62" s="14" t="inlineStr">
        <is>
          <t>PAINTER</t>
        </is>
      </c>
      <c r="D62" s="14" t="inlineStr">
        <is>
          <t>TN0251</t>
        </is>
      </c>
      <c r="E62" s="13" t="n">
        <v>25</v>
      </c>
      <c r="F62" s="15">
        <f>E62*8</f>
        <v/>
      </c>
      <c r="G62" s="16" t="n">
        <v>0</v>
      </c>
      <c r="H62" s="15">
        <f>F62+G62</f>
        <v/>
      </c>
      <c r="I62" s="16" t="n">
        <v>169.93</v>
      </c>
      <c r="J62" s="17">
        <f>IFERROR(I62/H62,0)</f>
        <v/>
      </c>
      <c r="K62" s="17">
        <f>MAX(0,1-J62)</f>
        <v/>
      </c>
      <c r="L62" s="18" t="n">
        <v>14314.28</v>
      </c>
      <c r="M62" s="16" t="n">
        <v>169.93</v>
      </c>
      <c r="N62" s="15">
        <f>M62+E62*2</f>
        <v/>
      </c>
      <c r="O62" s="17">
        <f>MIN(1.25,J62+15%)</f>
        <v/>
      </c>
      <c r="P62" s="17">
        <f>J62</f>
        <v/>
      </c>
      <c r="Q62" s="17">
        <f>MIN(1.25,O62*P62/90%)</f>
        <v/>
      </c>
    </row>
    <row r="63">
      <c r="A63" s="13" t="n">
        <v>58</v>
      </c>
      <c r="B63" s="14" t="inlineStr">
        <is>
          <t>MOHAMMED NISAR BHURE</t>
        </is>
      </c>
      <c r="C63" s="14" t="inlineStr">
        <is>
          <t>MECHANIC</t>
        </is>
      </c>
      <c r="D63" s="14" t="inlineStr">
        <is>
          <t>TN0252</t>
        </is>
      </c>
      <c r="E63" s="13" t="n">
        <v>21</v>
      </c>
      <c r="F63" s="15">
        <f>E63*8</f>
        <v/>
      </c>
      <c r="G63" s="16" t="n">
        <v>0</v>
      </c>
      <c r="H63" s="15">
        <f>F63+G63</f>
        <v/>
      </c>
      <c r="I63" s="16" t="n">
        <v>99.91</v>
      </c>
      <c r="J63" s="17">
        <f>IFERROR(I63/H63,0)</f>
        <v/>
      </c>
      <c r="K63" s="17">
        <f>MAX(0,1-J63)</f>
        <v/>
      </c>
      <c r="L63" s="18" t="n">
        <v>8483.58</v>
      </c>
      <c r="M63" s="16" t="n">
        <v>99.91</v>
      </c>
      <c r="N63" s="15">
        <f>M63+E63*2</f>
        <v/>
      </c>
      <c r="O63" s="17">
        <f>MIN(1.25,J63+15%)</f>
        <v/>
      </c>
      <c r="P63" s="17">
        <f>J63</f>
        <v/>
      </c>
      <c r="Q63" s="17">
        <f>MIN(1.25,O63*P63/90%)</f>
        <v/>
      </c>
    </row>
    <row r="64">
      <c r="A64" s="13" t="n">
        <v>59</v>
      </c>
      <c r="B64" s="14" t="inlineStr">
        <is>
          <t>MOHAMMED NISAR BHURE</t>
        </is>
      </c>
      <c r="C64" s="14" t="inlineStr">
        <is>
          <t>MECHANIC</t>
        </is>
      </c>
      <c r="D64" s="14" t="inlineStr">
        <is>
          <t>TN0252</t>
        </is>
      </c>
      <c r="E64" s="13" t="n">
        <v>4</v>
      </c>
      <c r="F64" s="15">
        <f>E64*8</f>
        <v/>
      </c>
      <c r="G64" s="16" t="n">
        <v>0</v>
      </c>
      <c r="H64" s="15">
        <f>F64+G64</f>
        <v/>
      </c>
      <c r="I64" s="16" t="n">
        <v>20.88</v>
      </c>
      <c r="J64" s="17">
        <f>IFERROR(I64/H64,0)</f>
        <v/>
      </c>
      <c r="K64" s="17">
        <f>MAX(0,1-J64)</f>
        <v/>
      </c>
      <c r="L64" s="18" t="n">
        <v>1789.54</v>
      </c>
      <c r="M64" s="16" t="n">
        <v>20.88</v>
      </c>
      <c r="N64" s="15">
        <f>M64+E64*2</f>
        <v/>
      </c>
      <c r="O64" s="17">
        <f>MIN(1.25,J64+15%)</f>
        <v/>
      </c>
      <c r="P64" s="17">
        <f>J64</f>
        <v/>
      </c>
      <c r="Q64" s="17">
        <f>MIN(1.25,O64*P64/90%)</f>
        <v/>
      </c>
    </row>
    <row r="65">
      <c r="A65" s="13" t="n">
        <v>60</v>
      </c>
      <c r="B65" s="14" t="inlineStr">
        <is>
          <t>VINODKUMAR KIZHAKKEPURA</t>
        </is>
      </c>
      <c r="C65" s="14" t="inlineStr">
        <is>
          <t>MECHANIC</t>
        </is>
      </c>
      <c r="D65" s="14" t="inlineStr">
        <is>
          <t>TN0253</t>
        </is>
      </c>
      <c r="E65" s="13" t="n">
        <v>17</v>
      </c>
      <c r="F65" s="15">
        <f>E65*8</f>
        <v/>
      </c>
      <c r="G65" s="16" t="n">
        <v>0</v>
      </c>
      <c r="H65" s="15">
        <f>F65+G65</f>
        <v/>
      </c>
      <c r="I65" s="16" t="n">
        <v>72.65000000000001</v>
      </c>
      <c r="J65" s="17">
        <f>IFERROR(I65/H65,0)</f>
        <v/>
      </c>
      <c r="K65" s="17">
        <f>MAX(0,1-J65)</f>
        <v/>
      </c>
      <c r="L65" s="18" t="n">
        <v>6070.24</v>
      </c>
      <c r="M65" s="16" t="n">
        <v>72.65000000000001</v>
      </c>
      <c r="N65" s="15">
        <f>M65+E65*2</f>
        <v/>
      </c>
      <c r="O65" s="17">
        <f>MIN(1.25,J65+15%)</f>
        <v/>
      </c>
      <c r="P65" s="17">
        <f>J65</f>
        <v/>
      </c>
      <c r="Q65" s="17">
        <f>MIN(1.25,O65*P65/90%)</f>
        <v/>
      </c>
    </row>
    <row r="66">
      <c r="A66" s="13" t="n">
        <v>61</v>
      </c>
      <c r="B66" s="14" t="inlineStr">
        <is>
          <t>ABU BAKAR SIDDIQ TAJ MUHA</t>
        </is>
      </c>
      <c r="C66" s="14" t="inlineStr">
        <is>
          <t>PAINTER</t>
        </is>
      </c>
      <c r="D66" s="14" t="inlineStr">
        <is>
          <t>TN0254</t>
        </is>
      </c>
      <c r="E66" s="13" t="n">
        <v>20</v>
      </c>
      <c r="F66" s="15">
        <f>E66*8</f>
        <v/>
      </c>
      <c r="G66" s="16" t="n">
        <v>0</v>
      </c>
      <c r="H66" s="15">
        <f>F66+G66</f>
        <v/>
      </c>
      <c r="I66" s="16" t="n">
        <v>103.31</v>
      </c>
      <c r="J66" s="17">
        <f>IFERROR(I66/H66,0)</f>
        <v/>
      </c>
      <c r="K66" s="17">
        <f>MAX(0,1-J66)</f>
        <v/>
      </c>
      <c r="L66" s="18" t="n">
        <v>8874.75</v>
      </c>
      <c r="M66" s="16" t="n">
        <v>103.31</v>
      </c>
      <c r="N66" s="15">
        <f>M66+E66*2</f>
        <v/>
      </c>
      <c r="O66" s="17">
        <f>MIN(1.25,J66+15%)</f>
        <v/>
      </c>
      <c r="P66" s="17">
        <f>J66</f>
        <v/>
      </c>
      <c r="Q66" s="17">
        <f>MIN(1.25,O66*P66/90%)</f>
        <v/>
      </c>
    </row>
    <row r="67">
      <c r="A67" s="13" t="n">
        <v>62</v>
      </c>
      <c r="B67" s="14" t="inlineStr">
        <is>
          <t>ABU BAKAR SIDDIQ TAJ MUHA</t>
        </is>
      </c>
      <c r="C67" s="14" t="inlineStr">
        <is>
          <t>PAINTER</t>
        </is>
      </c>
      <c r="D67" s="14" t="inlineStr">
        <is>
          <t>TN0254</t>
        </is>
      </c>
      <c r="E67" s="13" t="n">
        <v>4</v>
      </c>
      <c r="F67" s="15">
        <f>E67*8</f>
        <v/>
      </c>
      <c r="G67" s="16" t="n">
        <v>1</v>
      </c>
      <c r="H67" s="15">
        <f>F67+G67</f>
        <v/>
      </c>
      <c r="I67" s="16" t="n">
        <v>16.95</v>
      </c>
      <c r="J67" s="17">
        <f>IFERROR(I67/H67,0)</f>
        <v/>
      </c>
      <c r="K67" s="17">
        <f>MAX(0,1-J67)</f>
        <v/>
      </c>
      <c r="L67" s="18" t="n">
        <v>1431.77</v>
      </c>
      <c r="M67" s="16" t="n">
        <v>16.95</v>
      </c>
      <c r="N67" s="15">
        <f>M67+E67*2</f>
        <v/>
      </c>
      <c r="O67" s="17">
        <f>MIN(1.25,J67+15%)</f>
        <v/>
      </c>
      <c r="P67" s="17">
        <f>J67</f>
        <v/>
      </c>
      <c r="Q67" s="17">
        <f>MIN(1.25,O67*P67/90%)</f>
        <v/>
      </c>
    </row>
    <row r="68">
      <c r="A68" s="13" t="n">
        <v>63</v>
      </c>
      <c r="B68" s="14" t="inlineStr">
        <is>
          <t>SAMUEL OFORI</t>
        </is>
      </c>
      <c r="C68" s="14" t="inlineStr">
        <is>
          <t>MECHANIC</t>
        </is>
      </c>
      <c r="D68" s="14" t="inlineStr">
        <is>
          <t>TN0256</t>
        </is>
      </c>
      <c r="E68" s="13" t="n">
        <v>24</v>
      </c>
      <c r="F68" s="15">
        <f>E68*8</f>
        <v/>
      </c>
      <c r="G68" s="16" t="n">
        <v>0</v>
      </c>
      <c r="H68" s="15">
        <f>F68+G68</f>
        <v/>
      </c>
      <c r="I68" s="16" t="n">
        <v>134.64</v>
      </c>
      <c r="J68" s="17">
        <f>IFERROR(I68/H68,0)</f>
        <v/>
      </c>
      <c r="K68" s="17">
        <f>MAX(0,1-J68)</f>
        <v/>
      </c>
      <c r="L68" s="18" t="n">
        <v>11319.36</v>
      </c>
      <c r="M68" s="16" t="n">
        <v>134.64</v>
      </c>
      <c r="N68" s="15">
        <f>M68+E68*2</f>
        <v/>
      </c>
      <c r="O68" s="17">
        <f>MIN(1.25,J68+15%)</f>
        <v/>
      </c>
      <c r="P68" s="17">
        <f>J68</f>
        <v/>
      </c>
      <c r="Q68" s="17">
        <f>MIN(1.25,O68*P68/90%)</f>
        <v/>
      </c>
    </row>
    <row r="69">
      <c r="A69" s="13" t="n">
        <v>64</v>
      </c>
      <c r="B69" s="14" t="inlineStr">
        <is>
          <t>SHAJADA ALI SHAIKH</t>
        </is>
      </c>
      <c r="C69" s="14" t="inlineStr">
        <is>
          <t>MECHANIC</t>
        </is>
      </c>
      <c r="D69" s="14" t="inlineStr">
        <is>
          <t>TN0257</t>
        </is>
      </c>
      <c r="E69" s="13" t="n">
        <v>24</v>
      </c>
      <c r="F69" s="15">
        <f>E69*8</f>
        <v/>
      </c>
      <c r="G69" s="16" t="n">
        <v>0</v>
      </c>
      <c r="H69" s="15">
        <f>F69+G69</f>
        <v/>
      </c>
      <c r="I69" s="16" t="n">
        <v>179.33</v>
      </c>
      <c r="J69" s="17">
        <f>IFERROR(I69/H69,0)</f>
        <v/>
      </c>
      <c r="K69" s="17">
        <f>MAX(0,1-J69)</f>
        <v/>
      </c>
      <c r="L69" s="18" t="n">
        <v>15575.22</v>
      </c>
      <c r="M69" s="16" t="n">
        <v>179.33</v>
      </c>
      <c r="N69" s="15">
        <f>M69+E69*2</f>
        <v/>
      </c>
      <c r="O69" s="17">
        <f>MIN(1.25,J69+15%)</f>
        <v/>
      </c>
      <c r="P69" s="17">
        <f>J69</f>
        <v/>
      </c>
      <c r="Q69" s="17">
        <f>MIN(1.25,O69*P69/90%)</f>
        <v/>
      </c>
    </row>
    <row r="70">
      <c r="A70" s="13" t="n">
        <v>65</v>
      </c>
      <c r="B70" s="14" t="inlineStr">
        <is>
          <t>ABDULLAH NABEEL BUTT MAN</t>
        </is>
      </c>
      <c r="C70" s="14" t="inlineStr">
        <is>
          <t>ELECTRICIAN</t>
        </is>
      </c>
      <c r="D70" s="14" t="inlineStr">
        <is>
          <t>TN0258</t>
        </is>
      </c>
      <c r="E70" s="13" t="n">
        <v>26</v>
      </c>
      <c r="F70" s="15">
        <f>E70*8</f>
        <v/>
      </c>
      <c r="G70" s="16" t="n">
        <v>0</v>
      </c>
      <c r="H70" s="15">
        <f>F70+G70</f>
        <v/>
      </c>
      <c r="I70" s="16" t="n">
        <v>116.08</v>
      </c>
      <c r="J70" s="17">
        <f>IFERROR(I70/H70,0)</f>
        <v/>
      </c>
      <c r="K70" s="17">
        <f>MAX(0,1-J70)</f>
        <v/>
      </c>
      <c r="L70" s="18" t="n">
        <v>10064.53</v>
      </c>
      <c r="M70" s="16" t="n">
        <v>116.08</v>
      </c>
      <c r="N70" s="15">
        <f>M70+E70*2</f>
        <v/>
      </c>
      <c r="O70" s="17">
        <f>MIN(1.25,J70+15%)</f>
        <v/>
      </c>
      <c r="P70" s="17">
        <f>J70</f>
        <v/>
      </c>
      <c r="Q70" s="17">
        <f>MIN(1.25,O70*P70/90%)</f>
        <v/>
      </c>
    </row>
    <row r="71">
      <c r="A71" s="13" t="n">
        <v>66</v>
      </c>
      <c r="B71" s="14" t="inlineStr">
        <is>
          <t>MOHAMMED AWAIS ASGHAR</t>
        </is>
      </c>
      <c r="C71" s="14" t="inlineStr">
        <is>
          <t>ELECTRICIAN</t>
        </is>
      </c>
      <c r="D71" s="14" t="inlineStr">
        <is>
          <t>TN0259</t>
        </is>
      </c>
      <c r="E71" s="13" t="n">
        <v>23</v>
      </c>
      <c r="F71" s="15">
        <f>E71*8</f>
        <v/>
      </c>
      <c r="G71" s="16" t="n">
        <v>2</v>
      </c>
      <c r="H71" s="15">
        <f>F71+G71</f>
        <v/>
      </c>
      <c r="I71" s="16" t="n">
        <v>141.99</v>
      </c>
      <c r="J71" s="17">
        <f>IFERROR(I71/H71,0)</f>
        <v/>
      </c>
      <c r="K71" s="17">
        <f>MAX(0,1-J71)</f>
        <v/>
      </c>
      <c r="L71" s="18" t="n">
        <v>12066.88</v>
      </c>
      <c r="M71" s="16" t="n">
        <v>141.99</v>
      </c>
      <c r="N71" s="15">
        <f>M71+E71*2</f>
        <v/>
      </c>
      <c r="O71" s="17">
        <f>MIN(1.25,J71+15%)</f>
        <v/>
      </c>
      <c r="P71" s="17">
        <f>J71</f>
        <v/>
      </c>
      <c r="Q71" s="17">
        <f>MIN(1.25,O71*P71/90%)</f>
        <v/>
      </c>
    </row>
    <row r="72">
      <c r="A72" s="13" t="n">
        <v>67</v>
      </c>
      <c r="B72" s="14" t="inlineStr">
        <is>
          <t>ANIS ALI MIR MIR IBRAB ALI</t>
        </is>
      </c>
      <c r="C72" s="14" t="inlineStr">
        <is>
          <t>MECHANIC</t>
        </is>
      </c>
      <c r="D72" s="14" t="inlineStr">
        <is>
          <t>TN0261</t>
        </is>
      </c>
      <c r="E72" s="13" t="n">
        <v>26</v>
      </c>
      <c r="F72" s="15">
        <f>E72*8</f>
        <v/>
      </c>
      <c r="G72" s="16" t="n">
        <v>0</v>
      </c>
      <c r="H72" s="15">
        <f>F72+G72</f>
        <v/>
      </c>
      <c r="I72" s="16" t="n">
        <v>151.99</v>
      </c>
      <c r="J72" s="17">
        <f>IFERROR(I72/H72,0)</f>
        <v/>
      </c>
      <c r="K72" s="17">
        <f>MAX(0,1-J72)</f>
        <v/>
      </c>
      <c r="L72" s="18" t="n">
        <v>13099.56</v>
      </c>
      <c r="M72" s="16" t="n">
        <v>151.99</v>
      </c>
      <c r="N72" s="15">
        <f>M72+E72*2</f>
        <v/>
      </c>
      <c r="O72" s="17">
        <f>MIN(1.25,J72+15%)</f>
        <v/>
      </c>
      <c r="P72" s="17">
        <f>J72</f>
        <v/>
      </c>
      <c r="Q72" s="17">
        <f>MIN(1.25,O72*P72/90%)</f>
        <v/>
      </c>
    </row>
    <row r="73">
      <c r="A73" s="13" t="n">
        <v>68</v>
      </c>
      <c r="B73" s="14" t="inlineStr">
        <is>
          <t>SABIR ALI MUHAMMAD ALI</t>
        </is>
      </c>
      <c r="C73" s="14" t="inlineStr">
        <is>
          <t>PAINTER</t>
        </is>
      </c>
      <c r="D73" s="14" t="inlineStr">
        <is>
          <t>TN0265</t>
        </is>
      </c>
      <c r="E73" s="13" t="n">
        <v>25</v>
      </c>
      <c r="F73" s="15">
        <f>E73*8</f>
        <v/>
      </c>
      <c r="G73" s="16" t="n">
        <v>0</v>
      </c>
      <c r="H73" s="15">
        <f>F73+G73</f>
        <v/>
      </c>
      <c r="I73" s="16" t="n">
        <v>145</v>
      </c>
      <c r="J73" s="17">
        <f>IFERROR(I73/H73,0)</f>
        <v/>
      </c>
      <c r="K73" s="17">
        <f>MAX(0,1-J73)</f>
        <v/>
      </c>
      <c r="L73" s="18" t="n">
        <v>12463.36</v>
      </c>
      <c r="M73" s="16" t="n">
        <v>145</v>
      </c>
      <c r="N73" s="15">
        <f>M73+E73*2</f>
        <v/>
      </c>
      <c r="O73" s="17">
        <f>MIN(1.25,J73+15%)</f>
        <v/>
      </c>
      <c r="P73" s="17">
        <f>J73</f>
        <v/>
      </c>
      <c r="Q73" s="17">
        <f>MIN(1.25,O73*P73/90%)</f>
        <v/>
      </c>
    </row>
    <row r="74">
      <c r="A74" s="13" t="n">
        <v>69</v>
      </c>
      <c r="B74" s="14" t="inlineStr">
        <is>
          <t>ARISTOTE TSOPKENG LEWEPO</t>
        </is>
      </c>
      <c r="C74" s="14" t="inlineStr">
        <is>
          <t>MECHANIC</t>
        </is>
      </c>
      <c r="D74" s="14" t="inlineStr">
        <is>
          <t>TN0266</t>
        </is>
      </c>
      <c r="E74" s="13" t="n">
        <v>23</v>
      </c>
      <c r="F74" s="15">
        <f>E74*8</f>
        <v/>
      </c>
      <c r="G74" s="16" t="n">
        <v>0</v>
      </c>
      <c r="H74" s="15">
        <f>F74+G74</f>
        <v/>
      </c>
      <c r="I74" s="16" t="n">
        <v>132.34</v>
      </c>
      <c r="J74" s="17">
        <f>IFERROR(I74/H74,0)</f>
        <v/>
      </c>
      <c r="K74" s="17">
        <f>MAX(0,1-J74)</f>
        <v/>
      </c>
      <c r="L74" s="18" t="n">
        <v>11035.18</v>
      </c>
      <c r="M74" s="16" t="n">
        <v>132.34</v>
      </c>
      <c r="N74" s="15">
        <f>M74+E74*2</f>
        <v/>
      </c>
      <c r="O74" s="17">
        <f>MIN(1.25,J74+15%)</f>
        <v/>
      </c>
      <c r="P74" s="17">
        <f>J74</f>
        <v/>
      </c>
      <c r="Q74" s="17">
        <f>MIN(1.25,O74*P74/90%)</f>
        <v/>
      </c>
    </row>
    <row r="75">
      <c r="A75" s="13" t="n">
        <v>70</v>
      </c>
      <c r="B75" s="14" t="inlineStr">
        <is>
          <t>ALAM ZEB KHAN</t>
        </is>
      </c>
      <c r="C75" s="14" t="inlineStr">
        <is>
          <t>MECHANIC</t>
        </is>
      </c>
      <c r="D75" s="14" t="inlineStr">
        <is>
          <t>TN0268</t>
        </is>
      </c>
      <c r="E75" s="13" t="n">
        <v>25</v>
      </c>
      <c r="F75" s="15">
        <f>E75*8</f>
        <v/>
      </c>
      <c r="G75" s="16" t="n">
        <v>0</v>
      </c>
      <c r="H75" s="15">
        <f>F75+G75</f>
        <v/>
      </c>
      <c r="I75" s="16" t="n">
        <v>103.85</v>
      </c>
      <c r="J75" s="17">
        <f>IFERROR(I75/H75,0)</f>
        <v/>
      </c>
      <c r="K75" s="17">
        <f>MAX(0,1-J75)</f>
        <v/>
      </c>
      <c r="L75" s="18" t="n">
        <v>8714.959999999999</v>
      </c>
      <c r="M75" s="16" t="n">
        <v>103.85</v>
      </c>
      <c r="N75" s="15">
        <f>M75+E75*2</f>
        <v/>
      </c>
      <c r="O75" s="17">
        <f>MIN(1.25,J75+15%)</f>
        <v/>
      </c>
      <c r="P75" s="17">
        <f>J75</f>
        <v/>
      </c>
      <c r="Q75" s="17">
        <f>MIN(1.25,O75*P75/90%)</f>
        <v/>
      </c>
    </row>
    <row r="76">
      <c r="A76" s="13" t="n">
        <v>71</v>
      </c>
      <c r="B76" s="14" t="inlineStr">
        <is>
          <t>Abdulla shekh</t>
        </is>
      </c>
      <c r="C76" s="14" t="inlineStr">
        <is>
          <t>PAINTER</t>
        </is>
      </c>
      <c r="D76" s="14" t="inlineStr">
        <is>
          <t>TN0269</t>
        </is>
      </c>
      <c r="E76" s="13" t="n">
        <v>26</v>
      </c>
      <c r="F76" s="15">
        <f>E76*8</f>
        <v/>
      </c>
      <c r="G76" s="16" t="n">
        <v>0</v>
      </c>
      <c r="H76" s="15">
        <f>F76+G76</f>
        <v/>
      </c>
      <c r="I76" s="16" t="n">
        <v>177.47</v>
      </c>
      <c r="J76" s="17">
        <f>IFERROR(I76/H76,0)</f>
        <v/>
      </c>
      <c r="K76" s="17">
        <f>MAX(0,1-J76)</f>
        <v/>
      </c>
      <c r="L76" s="18" t="n">
        <v>14937.21</v>
      </c>
      <c r="M76" s="16" t="n">
        <v>177.47</v>
      </c>
      <c r="N76" s="15">
        <f>M76+E76*2</f>
        <v/>
      </c>
      <c r="O76" s="17">
        <f>MIN(1.25,J76+15%)</f>
        <v/>
      </c>
      <c r="P76" s="17">
        <f>J76</f>
        <v/>
      </c>
      <c r="Q76" s="17">
        <f>MIN(1.25,O76*P76/90%)</f>
        <v/>
      </c>
    </row>
    <row r="77">
      <c r="A77" s="13" t="n">
        <v>72</v>
      </c>
      <c r="B77" s="14" t="inlineStr">
        <is>
          <t>Abdel Rahman</t>
        </is>
      </c>
      <c r="C77" s="14" t="inlineStr">
        <is>
          <t>PAINTER</t>
        </is>
      </c>
      <c r="D77" s="14" t="inlineStr">
        <is>
          <t>TN0270</t>
        </is>
      </c>
      <c r="E77" s="13" t="n">
        <v>23</v>
      </c>
      <c r="F77" s="15">
        <f>E77*8</f>
        <v/>
      </c>
      <c r="G77" s="16" t="n">
        <v>1</v>
      </c>
      <c r="H77" s="15">
        <f>F77+G77</f>
        <v/>
      </c>
      <c r="I77" s="16" t="n">
        <v>141.16</v>
      </c>
      <c r="J77" s="17">
        <f>IFERROR(I77/H77,0)</f>
        <v/>
      </c>
      <c r="K77" s="17">
        <f>MAX(0,1-J77)</f>
        <v/>
      </c>
      <c r="L77" s="18" t="n">
        <v>11790.48</v>
      </c>
      <c r="M77" s="16" t="n">
        <v>141.16</v>
      </c>
      <c r="N77" s="15">
        <f>M77+E77*2</f>
        <v/>
      </c>
      <c r="O77" s="17">
        <f>MIN(1.25,J77+15%)</f>
        <v/>
      </c>
      <c r="P77" s="17">
        <f>J77</f>
        <v/>
      </c>
      <c r="Q77" s="17">
        <f>MIN(1.25,O77*P77/90%)</f>
        <v/>
      </c>
    </row>
    <row r="78">
      <c r="A78" s="13" t="n">
        <v>73</v>
      </c>
      <c r="B78" s="14" t="inlineStr">
        <is>
          <t>RENJITH RADHAKRISHNAN NA</t>
        </is>
      </c>
      <c r="C78" s="14" t="inlineStr">
        <is>
          <t>PAINTER</t>
        </is>
      </c>
      <c r="D78" s="14" t="inlineStr">
        <is>
          <t>TN0272</t>
        </is>
      </c>
      <c r="E78" s="13" t="n">
        <v>13</v>
      </c>
      <c r="F78" s="15">
        <f>E78*8</f>
        <v/>
      </c>
      <c r="G78" s="16" t="n">
        <v>0</v>
      </c>
      <c r="H78" s="15">
        <f>F78+G78</f>
        <v/>
      </c>
      <c r="I78" s="16" t="n">
        <v>76.29000000000001</v>
      </c>
      <c r="J78" s="17">
        <f>IFERROR(I78/H78,0)</f>
        <v/>
      </c>
      <c r="K78" s="17">
        <f>MAX(0,1-J78)</f>
        <v/>
      </c>
      <c r="L78" s="18" t="n">
        <v>6487.83</v>
      </c>
      <c r="M78" s="16" t="n">
        <v>76.29000000000001</v>
      </c>
      <c r="N78" s="15">
        <f>M78+E78*2</f>
        <v/>
      </c>
      <c r="O78" s="17">
        <f>MIN(1.25,J78+15%)</f>
        <v/>
      </c>
      <c r="P78" s="17">
        <f>J78</f>
        <v/>
      </c>
      <c r="Q78" s="17">
        <f>MIN(1.25,O78*P78/90%)</f>
        <v/>
      </c>
    </row>
    <row r="79">
      <c r="A79" s="13" t="n">
        <v>74</v>
      </c>
      <c r="B79" s="14" t="inlineStr">
        <is>
          <t>RENJITH RADHAKRISHNAN NA</t>
        </is>
      </c>
      <c r="C79" s="14" t="inlineStr">
        <is>
          <t>PAINTER</t>
        </is>
      </c>
      <c r="D79" s="14" t="inlineStr">
        <is>
          <t>TN0272</t>
        </is>
      </c>
      <c r="E79" s="13" t="n">
        <v>12</v>
      </c>
      <c r="F79" s="15">
        <f>E79*8</f>
        <v/>
      </c>
      <c r="G79" s="16" t="n">
        <v>4</v>
      </c>
      <c r="H79" s="15">
        <f>F79+G79</f>
        <v/>
      </c>
      <c r="I79" s="16" t="n">
        <v>77.5</v>
      </c>
      <c r="J79" s="17">
        <f>IFERROR(I79/H79,0)</f>
        <v/>
      </c>
      <c r="K79" s="17">
        <f>MAX(0,1-J79)</f>
        <v/>
      </c>
      <c r="L79" s="18" t="n">
        <v>6665.5</v>
      </c>
      <c r="M79" s="16" t="n">
        <v>77.5</v>
      </c>
      <c r="N79" s="15">
        <f>M79+E79*2</f>
        <v/>
      </c>
      <c r="O79" s="17">
        <f>MIN(1.25,J79+15%)</f>
        <v/>
      </c>
      <c r="P79" s="17">
        <f>J79</f>
        <v/>
      </c>
      <c r="Q79" s="17">
        <f>MIN(1.25,O79*P79/90%)</f>
        <v/>
      </c>
    </row>
    <row r="80">
      <c r="A80" s="13" t="n">
        <v>75</v>
      </c>
      <c r="B80" s="14" t="inlineStr">
        <is>
          <t>AHID SHAIKH SHAIKH</t>
        </is>
      </c>
      <c r="C80" s="14" t="inlineStr">
        <is>
          <t>PAINTER</t>
        </is>
      </c>
      <c r="D80" s="14" t="inlineStr">
        <is>
          <t>TN0273</t>
        </is>
      </c>
      <c r="E80" s="13" t="n">
        <v>21</v>
      </c>
      <c r="F80" s="15">
        <f>E80*8</f>
        <v/>
      </c>
      <c r="G80" s="16" t="n">
        <v>2</v>
      </c>
      <c r="H80" s="15">
        <f>F80+G80</f>
        <v/>
      </c>
      <c r="I80" s="16" t="n">
        <v>124.06</v>
      </c>
      <c r="J80" s="17">
        <f>IFERROR(I80/H80,0)</f>
        <v/>
      </c>
      <c r="K80" s="17">
        <f>MAX(0,1-J80)</f>
        <v/>
      </c>
      <c r="L80" s="18" t="n">
        <v>10554.69</v>
      </c>
      <c r="M80" s="16" t="n">
        <v>124.06</v>
      </c>
      <c r="N80" s="15">
        <f>M80+E80*2</f>
        <v/>
      </c>
      <c r="O80" s="17">
        <f>MIN(1.25,J80+15%)</f>
        <v/>
      </c>
      <c r="P80" s="17">
        <f>J80</f>
        <v/>
      </c>
      <c r="Q80" s="17">
        <f>MIN(1.25,O80*P80/90%)</f>
        <v/>
      </c>
    </row>
    <row r="81">
      <c r="A81" s="13" t="n">
        <v>76</v>
      </c>
      <c r="B81" s="14" t="inlineStr">
        <is>
          <t>IBRAHIM KHAN</t>
        </is>
      </c>
      <c r="C81" s="14" t="inlineStr">
        <is>
          <t>DENTER</t>
        </is>
      </c>
      <c r="D81" s="14" t="inlineStr">
        <is>
          <t>TN0274</t>
        </is>
      </c>
      <c r="E81" s="13" t="n">
        <v>23</v>
      </c>
      <c r="F81" s="15">
        <f>E81*8</f>
        <v/>
      </c>
      <c r="G81" s="16" t="n">
        <v>0</v>
      </c>
      <c r="H81" s="15">
        <f>F81+G81</f>
        <v/>
      </c>
      <c r="I81" s="16" t="n">
        <v>122.86</v>
      </c>
      <c r="J81" s="17">
        <f>IFERROR(I81/H81,0)</f>
        <v/>
      </c>
      <c r="K81" s="17">
        <f>MAX(0,1-J81)</f>
        <v/>
      </c>
      <c r="L81" s="18" t="n">
        <v>10595.75</v>
      </c>
      <c r="M81" s="16" t="n">
        <v>122.86</v>
      </c>
      <c r="N81" s="15">
        <f>M81+E81*2</f>
        <v/>
      </c>
      <c r="O81" s="17">
        <f>MIN(1.25,J81+15%)</f>
        <v/>
      </c>
      <c r="P81" s="17">
        <f>J81</f>
        <v/>
      </c>
      <c r="Q81" s="17">
        <f>MIN(1.25,O81*P81/90%)</f>
        <v/>
      </c>
    </row>
    <row r="82">
      <c r="A82" s="13" t="n">
        <v>77</v>
      </c>
      <c r="B82" s="14" t="inlineStr">
        <is>
          <t>MUHAMMED SUFIAN QURESHI</t>
        </is>
      </c>
      <c r="C82" s="14" t="inlineStr">
        <is>
          <t>DENTER</t>
        </is>
      </c>
      <c r="D82" s="14" t="inlineStr">
        <is>
          <t>TN0275</t>
        </is>
      </c>
      <c r="E82" s="13" t="n">
        <v>24</v>
      </c>
      <c r="F82" s="15">
        <f>E82*8</f>
        <v/>
      </c>
      <c r="G82" s="16" t="n">
        <v>2</v>
      </c>
      <c r="H82" s="15">
        <f>F82+G82</f>
        <v/>
      </c>
      <c r="I82" s="16" t="n">
        <v>142.78</v>
      </c>
      <c r="J82" s="17">
        <f>IFERROR(I82/H82,0)</f>
        <v/>
      </c>
      <c r="K82" s="17">
        <f>MAX(0,1-J82)</f>
        <v/>
      </c>
      <c r="L82" s="18" t="n">
        <v>12164.35</v>
      </c>
      <c r="M82" s="16" t="n">
        <v>142.78</v>
      </c>
      <c r="N82" s="15">
        <f>M82+E82*2</f>
        <v/>
      </c>
      <c r="O82" s="17">
        <f>MIN(1.25,J82+15%)</f>
        <v/>
      </c>
      <c r="P82" s="17">
        <f>J82</f>
        <v/>
      </c>
      <c r="Q82" s="17">
        <f>MIN(1.25,O82*P82/90%)</f>
        <v/>
      </c>
    </row>
    <row r="83">
      <c r="A83" s="13" t="n">
        <v>78</v>
      </c>
      <c r="B83" s="14" t="inlineStr">
        <is>
          <t>RAGHU</t>
        </is>
      </c>
      <c r="C83" s="14" t="inlineStr">
        <is>
          <t>ELECTRICIAN</t>
        </is>
      </c>
      <c r="D83" s="14" t="inlineStr">
        <is>
          <t>TN0276</t>
        </is>
      </c>
      <c r="E83" s="13" t="n">
        <v>25</v>
      </c>
      <c r="F83" s="15">
        <f>E83*8</f>
        <v/>
      </c>
      <c r="G83" s="16" t="n">
        <v>2</v>
      </c>
      <c r="H83" s="15">
        <f>F83+G83</f>
        <v/>
      </c>
      <c r="I83" s="16" t="n">
        <v>150.66</v>
      </c>
      <c r="J83" s="17">
        <f>IFERROR(I83/H83,0)</f>
        <v/>
      </c>
      <c r="K83" s="17">
        <f>MAX(0,1-J83)</f>
        <v/>
      </c>
      <c r="L83" s="18" t="n">
        <v>13053.57</v>
      </c>
      <c r="M83" s="16" t="n">
        <v>150.66</v>
      </c>
      <c r="N83" s="15">
        <f>M83+E83*2</f>
        <v/>
      </c>
      <c r="O83" s="17">
        <f>MIN(1.25,J83+15%)</f>
        <v/>
      </c>
      <c r="P83" s="17">
        <f>J83</f>
        <v/>
      </c>
      <c r="Q83" s="17">
        <f>MIN(1.25,O83*P83/90%)</f>
        <v/>
      </c>
    </row>
    <row r="84">
      <c r="A84" s="13" t="n">
        <v>79</v>
      </c>
      <c r="B84" s="14" t="inlineStr">
        <is>
          <t>MAHAFUJ ALI MOHAMMAD</t>
        </is>
      </c>
      <c r="C84" s="14" t="inlineStr">
        <is>
          <t>PAINTER</t>
        </is>
      </c>
      <c r="D84" s="14" t="inlineStr">
        <is>
          <t>TN0277</t>
        </is>
      </c>
      <c r="E84" s="13" t="n">
        <v>26</v>
      </c>
      <c r="F84" s="15">
        <f>E84*8</f>
        <v/>
      </c>
      <c r="G84" s="16" t="n">
        <v>0</v>
      </c>
      <c r="H84" s="15">
        <f>F84+G84</f>
        <v/>
      </c>
      <c r="I84" s="16" t="n">
        <v>150.4</v>
      </c>
      <c r="J84" s="17">
        <f>IFERROR(I84/H84,0)</f>
        <v/>
      </c>
      <c r="K84" s="17">
        <f>MAX(0,1-J84)</f>
        <v/>
      </c>
      <c r="L84" s="18" t="n">
        <v>12908.5</v>
      </c>
      <c r="M84" s="16" t="n">
        <v>150.4</v>
      </c>
      <c r="N84" s="15">
        <f>M84+E84*2</f>
        <v/>
      </c>
      <c r="O84" s="17">
        <f>MIN(1.25,J84+15%)</f>
        <v/>
      </c>
      <c r="P84" s="17">
        <f>J84</f>
        <v/>
      </c>
      <c r="Q84" s="17">
        <f>MIN(1.25,O84*P84/90%)</f>
        <v/>
      </c>
    </row>
    <row r="85">
      <c r="A85" s="13" t="n">
        <v>80</v>
      </c>
      <c r="B85" s="14" t="inlineStr">
        <is>
          <t>SK MAKSOOD</t>
        </is>
      </c>
      <c r="C85" s="14" t="inlineStr">
        <is>
          <t>PAINTER</t>
        </is>
      </c>
      <c r="D85" s="14" t="inlineStr">
        <is>
          <t>TN0280</t>
        </is>
      </c>
      <c r="E85" s="13" t="n">
        <v>25</v>
      </c>
      <c r="F85" s="15">
        <f>E85*8</f>
        <v/>
      </c>
      <c r="G85" s="16" t="n">
        <v>0</v>
      </c>
      <c r="H85" s="15">
        <f>F85+G85</f>
        <v/>
      </c>
      <c r="I85" s="16" t="n">
        <v>163.7</v>
      </c>
      <c r="J85" s="17">
        <f>IFERROR(I85/H85,0)</f>
        <v/>
      </c>
      <c r="K85" s="17">
        <f>MAX(0,1-J85)</f>
        <v/>
      </c>
      <c r="L85" s="18" t="n">
        <v>13974.35</v>
      </c>
      <c r="M85" s="16" t="n">
        <v>163.7</v>
      </c>
      <c r="N85" s="15">
        <f>M85+E85*2</f>
        <v/>
      </c>
      <c r="O85" s="17">
        <f>MIN(1.25,J85+15%)</f>
        <v/>
      </c>
      <c r="P85" s="17">
        <f>J85</f>
        <v/>
      </c>
      <c r="Q85" s="17">
        <f>MIN(1.25,O85*P85/90%)</f>
        <v/>
      </c>
    </row>
    <row r="86">
      <c r="A86" s="13" t="n">
        <v>81</v>
      </c>
      <c r="B86" s="14" t="inlineStr">
        <is>
          <t>umar sadiq abdur rahman</t>
        </is>
      </c>
      <c r="C86" s="14" t="inlineStr">
        <is>
          <t>DENTER</t>
        </is>
      </c>
      <c r="D86" s="14" t="inlineStr">
        <is>
          <t>TN0281</t>
        </is>
      </c>
      <c r="E86" s="13" t="n">
        <v>25</v>
      </c>
      <c r="F86" s="15">
        <f>E86*8</f>
        <v/>
      </c>
      <c r="G86" s="16" t="n">
        <v>0</v>
      </c>
      <c r="H86" s="15">
        <f>F86+G86</f>
        <v/>
      </c>
      <c r="I86" s="16" t="n">
        <v>178.9</v>
      </c>
      <c r="J86" s="17">
        <f>IFERROR(I86/H86,0)</f>
        <v/>
      </c>
      <c r="K86" s="17">
        <f>MAX(0,1-J86)</f>
        <v/>
      </c>
      <c r="L86" s="18" t="n">
        <v>15549.89</v>
      </c>
      <c r="M86" s="16" t="n">
        <v>178.9</v>
      </c>
      <c r="N86" s="15">
        <f>M86+E86*2</f>
        <v/>
      </c>
      <c r="O86" s="17">
        <f>MIN(1.25,J86+15%)</f>
        <v/>
      </c>
      <c r="P86" s="17">
        <f>J86</f>
        <v/>
      </c>
      <c r="Q86" s="17">
        <f>MIN(1.25,O86*P86/90%)</f>
        <v/>
      </c>
    </row>
    <row r="87">
      <c r="A87" s="13" t="n">
        <v>82</v>
      </c>
      <c r="B87" s="14" t="inlineStr">
        <is>
          <t>DHANESH E. DEVADAS</t>
        </is>
      </c>
      <c r="C87" s="14" t="inlineStr">
        <is>
          <t>MECHANIC</t>
        </is>
      </c>
      <c r="D87" s="14" t="inlineStr">
        <is>
          <t>TN0283</t>
        </is>
      </c>
      <c r="E87" s="13" t="n">
        <v>25</v>
      </c>
      <c r="F87" s="15">
        <f>E87*8</f>
        <v/>
      </c>
      <c r="G87" s="16" t="n">
        <v>1</v>
      </c>
      <c r="H87" s="15">
        <f>F87+G87</f>
        <v/>
      </c>
      <c r="I87" s="16" t="n">
        <v>59.93</v>
      </c>
      <c r="J87" s="17">
        <f>IFERROR(I87/H87,0)</f>
        <v/>
      </c>
      <c r="K87" s="17">
        <f>MAX(0,1-J87)</f>
        <v/>
      </c>
      <c r="L87" s="18" t="n">
        <v>5009.81</v>
      </c>
      <c r="M87" s="16" t="n">
        <v>59.93</v>
      </c>
      <c r="N87" s="15">
        <f>M87+E87*2</f>
        <v/>
      </c>
      <c r="O87" s="17">
        <f>MIN(1.25,J87+15%)</f>
        <v/>
      </c>
      <c r="P87" s="17">
        <f>J87</f>
        <v/>
      </c>
      <c r="Q87" s="17">
        <f>MIN(1.25,O87*P87/90%)</f>
        <v/>
      </c>
    </row>
    <row r="88">
      <c r="A88" s="13" t="n">
        <v>83</v>
      </c>
      <c r="B88" s="14" t="inlineStr">
        <is>
          <t>Emmanuel Koranteng</t>
        </is>
      </c>
      <c r="C88" s="14" t="inlineStr">
        <is>
          <t>ELECTRICIAN</t>
        </is>
      </c>
      <c r="D88" s="14" t="inlineStr">
        <is>
          <t>TN0285</t>
        </is>
      </c>
      <c r="E88" s="13" t="n">
        <v>25</v>
      </c>
      <c r="F88" s="15">
        <f>E88*8</f>
        <v/>
      </c>
      <c r="G88" s="16" t="n">
        <v>0</v>
      </c>
      <c r="H88" s="15">
        <f>F88+G88</f>
        <v/>
      </c>
      <c r="I88" s="16" t="n">
        <v>133.72</v>
      </c>
      <c r="J88" s="17">
        <f>IFERROR(I88/H88,0)</f>
        <v/>
      </c>
      <c r="K88" s="17">
        <f>MAX(0,1-J88)</f>
        <v/>
      </c>
      <c r="L88" s="18" t="n">
        <v>11179.03</v>
      </c>
      <c r="M88" s="16" t="n">
        <v>133.72</v>
      </c>
      <c r="N88" s="15">
        <f>M88+E88*2</f>
        <v/>
      </c>
      <c r="O88" s="17">
        <f>MIN(1.25,J88+15%)</f>
        <v/>
      </c>
      <c r="P88" s="17">
        <f>J88</f>
        <v/>
      </c>
      <c r="Q88" s="17">
        <f>MIN(1.25,O88*P88/90%)</f>
        <v/>
      </c>
    </row>
    <row r="90">
      <c r="A90" s="19" t="n"/>
      <c r="B90" s="20" t="inlineStr">
        <is>
          <t>TOTAL / AVG</t>
        </is>
      </c>
      <c r="C90" s="19" t="n"/>
      <c r="D90" s="19" t="n"/>
      <c r="E90" s="21">
        <f>SUM(E6:E88)</f>
        <v/>
      </c>
      <c r="F90" s="21">
        <f>SUM(F6:F88)</f>
        <v/>
      </c>
      <c r="G90" s="21">
        <f>SUM(G6:G88)</f>
        <v/>
      </c>
      <c r="H90" s="21">
        <f>SUM(H6:H88)</f>
        <v/>
      </c>
      <c r="I90" s="21">
        <f>SUM(I6:I88)</f>
        <v/>
      </c>
      <c r="J90" s="22">
        <f>AVERAGE(J6:J88)</f>
        <v/>
      </c>
      <c r="K90" s="22">
        <f>AVERAGE(K6:K88)</f>
        <v/>
      </c>
      <c r="L90" s="23">
        <f>SUM(L6:L88)</f>
        <v/>
      </c>
      <c r="M90" s="21">
        <f>SUM(M6:M88)</f>
        <v/>
      </c>
      <c r="N90" s="21">
        <f>SUM(N6:N88)</f>
        <v/>
      </c>
      <c r="O90" s="22">
        <f>AVERAGE(O6:O88)</f>
        <v/>
      </c>
      <c r="P90" s="22">
        <f>AVERAGE(P6:P88)</f>
        <v/>
      </c>
      <c r="Q90" s="22">
        <f>AVERAGE(Q6:Q88)</f>
        <v/>
      </c>
    </row>
  </sheetData>
  <autoFilter ref="A5:Q88"/>
  <mergeCells count="3">
    <mergeCell ref="B2:Q2"/>
    <mergeCell ref="I1:M1"/>
    <mergeCell ref="A1:H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1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3" customWidth="1" min="14" max="14"/>
    <col width="9" customWidth="1" min="15" max="15"/>
    <col width="9" customWidth="1" min="16" max="16"/>
    <col width="9" customWidth="1" min="17" max="17"/>
  </cols>
  <sheetData>
    <row r="1">
      <c r="A1" s="9" t="inlineStr">
        <is>
          <t>Pioneer Car Service Center</t>
        </is>
      </c>
      <c r="I1" s="9" t="inlineStr">
        <is>
          <t>Technicians KPI's Report</t>
        </is>
      </c>
      <c r="N1" s="10" t="inlineStr">
        <is>
          <t>Period:</t>
        </is>
      </c>
      <c r="O1" s="10" t="inlineStr">
        <is>
          <t>May-2026</t>
        </is>
      </c>
    </row>
    <row r="2">
      <c r="A2" s="2" t="inlineStr">
        <is>
          <t>Data status:</t>
        </is>
      </c>
      <c r="B2" s="11" t="inlineStr">
        <is>
          <t>SIMULATED / ESTIMATED - realistic values based on Jul-2026 baseline</t>
        </is>
      </c>
    </row>
    <row r="5" ht="34" customHeight="1">
      <c r="A5" s="12" t="inlineStr">
        <is>
          <t>S.No</t>
        </is>
      </c>
      <c r="B5" s="12" t="inlineStr">
        <is>
          <t>Technician</t>
        </is>
      </c>
      <c r="C5" s="12" t="inlineStr">
        <is>
          <t>Designation</t>
        </is>
      </c>
      <c r="D5" s="12" t="inlineStr">
        <is>
          <t>Tech ID</t>
        </is>
      </c>
      <c r="E5" s="12" t="inlineStr">
        <is>
          <t>Days Present</t>
        </is>
      </c>
      <c r="F5" s="12" t="inlineStr">
        <is>
          <t>Avail. Hrs</t>
        </is>
      </c>
      <c r="G5" s="12" t="inlineStr">
        <is>
          <t>OT</t>
        </is>
      </c>
      <c r="H5" s="12" t="inlineStr">
        <is>
          <t>Total Hrs</t>
        </is>
      </c>
      <c r="I5" s="12" t="inlineStr">
        <is>
          <t>Worked Hrs</t>
        </is>
      </c>
      <c r="J5" s="12" t="inlineStr">
        <is>
          <t>Prod HRS (%)</t>
        </is>
      </c>
      <c r="K5" s="12" t="inlineStr">
        <is>
          <t>Idle HRS (%)</t>
        </is>
      </c>
      <c r="L5" s="12" t="inlineStr">
        <is>
          <t>Billed Value (AED)</t>
        </is>
      </c>
      <c r="M5" s="12" t="inlineStr">
        <is>
          <t>Billed HRS</t>
        </is>
      </c>
      <c r="N5" s="12" t="inlineStr">
        <is>
          <t>Billed Hours</t>
        </is>
      </c>
      <c r="O5" s="12" t="inlineStr">
        <is>
          <t>U%</t>
        </is>
      </c>
      <c r="P5" s="12" t="inlineStr">
        <is>
          <t>P%</t>
        </is>
      </c>
      <c r="Q5" s="12" t="inlineStr">
        <is>
          <t>E%</t>
        </is>
      </c>
    </row>
    <row r="6">
      <c r="A6" s="13" t="n">
        <v>1</v>
      </c>
      <c r="B6" s="14" t="inlineStr">
        <is>
          <t>GERVAS LEONARD</t>
        </is>
      </c>
      <c r="C6" s="14" t="inlineStr">
        <is>
          <t>DENTER</t>
        </is>
      </c>
      <c r="D6" s="14" t="inlineStr">
        <is>
          <t>TN0015</t>
        </is>
      </c>
      <c r="E6" s="13" t="n">
        <v>25</v>
      </c>
      <c r="F6" s="15">
        <f>E6*8</f>
        <v/>
      </c>
      <c r="G6" s="16" t="n">
        <v>0</v>
      </c>
      <c r="H6" s="15">
        <f>F6+G6</f>
        <v/>
      </c>
      <c r="I6" s="16" t="n">
        <v>160.67</v>
      </c>
      <c r="J6" s="17">
        <f>IFERROR(I6/H6,0)</f>
        <v/>
      </c>
      <c r="K6" s="17">
        <f>MAX(0,1-J6)</f>
        <v/>
      </c>
      <c r="L6" s="18" t="n">
        <v>13478.37</v>
      </c>
      <c r="M6" s="16" t="n">
        <v>160.67</v>
      </c>
      <c r="N6" s="15">
        <f>M6+E6*2</f>
        <v/>
      </c>
      <c r="O6" s="17">
        <f>MIN(1.25,J6+15%)</f>
        <v/>
      </c>
      <c r="P6" s="17">
        <f>J6</f>
        <v/>
      </c>
      <c r="Q6" s="17">
        <f>MIN(1.25,O6*P6/90%)</f>
        <v/>
      </c>
    </row>
    <row r="7">
      <c r="A7" s="13" t="n">
        <v>2</v>
      </c>
      <c r="B7" s="14" t="inlineStr">
        <is>
          <t>ATHUMANI HAMAD NGODA</t>
        </is>
      </c>
      <c r="C7" s="14" t="inlineStr">
        <is>
          <t>PAINTER</t>
        </is>
      </c>
      <c r="D7" s="14" t="inlineStr">
        <is>
          <t>TN0018</t>
        </is>
      </c>
      <c r="E7" s="13" t="n">
        <v>26</v>
      </c>
      <c r="F7" s="15">
        <f>E7*8</f>
        <v/>
      </c>
      <c r="G7" s="16" t="n">
        <v>0</v>
      </c>
      <c r="H7" s="15">
        <f>F7+G7</f>
        <v/>
      </c>
      <c r="I7" s="16" t="n">
        <v>177.1</v>
      </c>
      <c r="J7" s="17">
        <f>IFERROR(I7/H7,0)</f>
        <v/>
      </c>
      <c r="K7" s="17">
        <f>MAX(0,1-J7)</f>
        <v/>
      </c>
      <c r="L7" s="18" t="n">
        <v>15258.06</v>
      </c>
      <c r="M7" s="16" t="n">
        <v>177.1</v>
      </c>
      <c r="N7" s="15">
        <f>M7+E7*2</f>
        <v/>
      </c>
      <c r="O7" s="17">
        <f>MIN(1.25,J7+15%)</f>
        <v/>
      </c>
      <c r="P7" s="17">
        <f>J7</f>
        <v/>
      </c>
      <c r="Q7" s="17">
        <f>MIN(1.25,O7*P7/90%)</f>
        <v/>
      </c>
    </row>
    <row r="8">
      <c r="A8" s="13" t="n">
        <v>3</v>
      </c>
      <c r="B8" s="14" t="inlineStr">
        <is>
          <t>SAMIRULLAH Sheikh</t>
        </is>
      </c>
      <c r="C8" s="14" t="inlineStr">
        <is>
          <t>PAINTER</t>
        </is>
      </c>
      <c r="D8" s="14" t="inlineStr">
        <is>
          <t>TN0020</t>
        </is>
      </c>
      <c r="E8" s="13" t="n">
        <v>26</v>
      </c>
      <c r="F8" s="15">
        <f>E8*8</f>
        <v/>
      </c>
      <c r="G8" s="16" t="n">
        <v>0</v>
      </c>
      <c r="H8" s="15">
        <f>F8+G8</f>
        <v/>
      </c>
      <c r="I8" s="16" t="n">
        <v>183.19</v>
      </c>
      <c r="J8" s="17">
        <f>IFERROR(I8/H8,0)</f>
        <v/>
      </c>
      <c r="K8" s="17">
        <f>MAX(0,1-J8)</f>
        <v/>
      </c>
      <c r="L8" s="18" t="n">
        <v>15357.74</v>
      </c>
      <c r="M8" s="16" t="n">
        <v>183.19</v>
      </c>
      <c r="N8" s="15">
        <f>M8+E8*2</f>
        <v/>
      </c>
      <c r="O8" s="17">
        <f>MIN(1.25,J8+15%)</f>
        <v/>
      </c>
      <c r="P8" s="17">
        <f>J8</f>
        <v/>
      </c>
      <c r="Q8" s="17">
        <f>MIN(1.25,O8*P8/90%)</f>
        <v/>
      </c>
    </row>
    <row r="9">
      <c r="A9" s="13" t="n">
        <v>4</v>
      </c>
      <c r="B9" s="14" t="inlineStr">
        <is>
          <t>BRUNO STEPHANO MASASI</t>
        </is>
      </c>
      <c r="C9" s="14" t="inlineStr">
        <is>
          <t>MECHANIC</t>
        </is>
      </c>
      <c r="D9" s="14" t="inlineStr">
        <is>
          <t>TN0023</t>
        </is>
      </c>
      <c r="E9" s="13" t="n">
        <v>27</v>
      </c>
      <c r="F9" s="15">
        <f>E9*8</f>
        <v/>
      </c>
      <c r="G9" s="16" t="n">
        <v>0</v>
      </c>
      <c r="H9" s="15">
        <f>F9+G9</f>
        <v/>
      </c>
      <c r="I9" s="16" t="n">
        <v>195.6</v>
      </c>
      <c r="J9" s="17">
        <f>IFERROR(I9/H9,0)</f>
        <v/>
      </c>
      <c r="K9" s="17">
        <f>MAX(0,1-J9)</f>
        <v/>
      </c>
      <c r="L9" s="18" t="n">
        <v>16555.01</v>
      </c>
      <c r="M9" s="16" t="n">
        <v>195.6</v>
      </c>
      <c r="N9" s="15">
        <f>M9+E9*2</f>
        <v/>
      </c>
      <c r="O9" s="17">
        <f>MIN(1.25,J9+15%)</f>
        <v/>
      </c>
      <c r="P9" s="17">
        <f>J9</f>
        <v/>
      </c>
      <c r="Q9" s="17">
        <f>MIN(1.25,O9*P9/90%)</f>
        <v/>
      </c>
    </row>
    <row r="10">
      <c r="A10" s="13" t="n">
        <v>5</v>
      </c>
      <c r="B10" s="14" t="inlineStr">
        <is>
          <t>JUMANNE ABDUL</t>
        </is>
      </c>
      <c r="C10" s="14" t="inlineStr">
        <is>
          <t>PAINTER</t>
        </is>
      </c>
      <c r="D10" s="14" t="inlineStr">
        <is>
          <t>TN0025</t>
        </is>
      </c>
      <c r="E10" s="13" t="n">
        <v>27</v>
      </c>
      <c r="F10" s="15">
        <f>E10*8</f>
        <v/>
      </c>
      <c r="G10" s="16" t="n">
        <v>0</v>
      </c>
      <c r="H10" s="15">
        <f>F10+G10</f>
        <v/>
      </c>
      <c r="I10" s="16" t="n">
        <v>180.76</v>
      </c>
      <c r="J10" s="17">
        <f>IFERROR(I10/H10,0)</f>
        <v/>
      </c>
      <c r="K10" s="17">
        <f>MAX(0,1-J10)</f>
        <v/>
      </c>
      <c r="L10" s="18" t="n">
        <v>15613.86</v>
      </c>
      <c r="M10" s="16" t="n">
        <v>180.76</v>
      </c>
      <c r="N10" s="15">
        <f>M10+E10*2</f>
        <v/>
      </c>
      <c r="O10" s="17">
        <f>MIN(1.25,J10+15%)</f>
        <v/>
      </c>
      <c r="P10" s="17">
        <f>J10</f>
        <v/>
      </c>
      <c r="Q10" s="17">
        <f>MIN(1.25,O10*P10/90%)</f>
        <v/>
      </c>
    </row>
    <row r="11">
      <c r="A11" s="13" t="n">
        <v>6</v>
      </c>
      <c r="B11" s="14" t="inlineStr">
        <is>
          <t>Ally Bakali Kufikili</t>
        </is>
      </c>
      <c r="C11" s="14" t="inlineStr">
        <is>
          <t>PAINTER</t>
        </is>
      </c>
      <c r="D11" s="14" t="inlineStr">
        <is>
          <t>TN0027</t>
        </is>
      </c>
      <c r="E11" s="13" t="n">
        <v>1</v>
      </c>
      <c r="F11" s="15">
        <f>E11*8</f>
        <v/>
      </c>
      <c r="G11" s="16" t="n">
        <v>0</v>
      </c>
      <c r="H11" s="15">
        <f>F11+G11</f>
        <v/>
      </c>
      <c r="I11" s="16" t="n">
        <v>6.98</v>
      </c>
      <c r="J11" s="17">
        <f>IFERROR(I11/H11,0)</f>
        <v/>
      </c>
      <c r="K11" s="17">
        <f>MAX(0,1-J11)</f>
        <v/>
      </c>
      <c r="L11" s="18" t="n">
        <v>603.35</v>
      </c>
      <c r="M11" s="16" t="n">
        <v>6.98</v>
      </c>
      <c r="N11" s="15">
        <f>M11+E11*2</f>
        <v/>
      </c>
      <c r="O11" s="17">
        <f>MIN(1.25,J11+15%)</f>
        <v/>
      </c>
      <c r="P11" s="17">
        <f>J11</f>
        <v/>
      </c>
      <c r="Q11" s="17">
        <f>MIN(1.25,O11*P11/90%)</f>
        <v/>
      </c>
    </row>
    <row r="12">
      <c r="A12" s="13" t="n">
        <v>7</v>
      </c>
      <c r="B12" s="14" t="inlineStr">
        <is>
          <t>Daudi Khafani Mrisho</t>
        </is>
      </c>
      <c r="C12" s="14" t="inlineStr">
        <is>
          <t>PAINTER</t>
        </is>
      </c>
      <c r="D12" s="14" t="inlineStr">
        <is>
          <t>TN0028</t>
        </is>
      </c>
      <c r="E12" s="13" t="n">
        <v>27</v>
      </c>
      <c r="F12" s="15">
        <f>E12*8</f>
        <v/>
      </c>
      <c r="G12" s="16" t="n">
        <v>0</v>
      </c>
      <c r="H12" s="15">
        <f>F12+G12</f>
        <v/>
      </c>
      <c r="I12" s="16" t="n">
        <v>170.49</v>
      </c>
      <c r="J12" s="17">
        <f>IFERROR(I12/H12,0)</f>
        <v/>
      </c>
      <c r="K12" s="17">
        <f>MAX(0,1-J12)</f>
        <v/>
      </c>
      <c r="L12" s="18" t="n">
        <v>14497.88</v>
      </c>
      <c r="M12" s="16" t="n">
        <v>170.49</v>
      </c>
      <c r="N12" s="15">
        <f>M12+E12*2</f>
        <v/>
      </c>
      <c r="O12" s="17">
        <f>MIN(1.25,J12+15%)</f>
        <v/>
      </c>
      <c r="P12" s="17">
        <f>J12</f>
        <v/>
      </c>
      <c r="Q12" s="17">
        <f>MIN(1.25,O12*P12/90%)</f>
        <v/>
      </c>
    </row>
    <row r="13">
      <c r="A13" s="13" t="n">
        <v>8</v>
      </c>
      <c r="B13" s="14" t="inlineStr">
        <is>
          <t>Aboo Khan Babu Khan</t>
        </is>
      </c>
      <c r="C13" s="14" t="inlineStr">
        <is>
          <t>PAINTER</t>
        </is>
      </c>
      <c r="D13" s="14" t="inlineStr">
        <is>
          <t>TN0041</t>
        </is>
      </c>
      <c r="E13" s="13" t="n">
        <v>25</v>
      </c>
      <c r="F13" s="15">
        <f>E13*8</f>
        <v/>
      </c>
      <c r="G13" s="16" t="n">
        <v>0</v>
      </c>
      <c r="H13" s="15">
        <f>F13+G13</f>
        <v/>
      </c>
      <c r="I13" s="16" t="n">
        <v>163.56</v>
      </c>
      <c r="J13" s="17">
        <f>IFERROR(I13/H13,0)</f>
        <v/>
      </c>
      <c r="K13" s="17">
        <f>MAX(0,1-J13)</f>
        <v/>
      </c>
      <c r="L13" s="18" t="n">
        <v>13797.3</v>
      </c>
      <c r="M13" s="16" t="n">
        <v>163.56</v>
      </c>
      <c r="N13" s="15">
        <f>M13+E13*2</f>
        <v/>
      </c>
      <c r="O13" s="17">
        <f>MIN(1.25,J13+15%)</f>
        <v/>
      </c>
      <c r="P13" s="17">
        <f>J13</f>
        <v/>
      </c>
      <c r="Q13" s="17">
        <f>MIN(1.25,O13*P13/90%)</f>
        <v/>
      </c>
    </row>
    <row r="14">
      <c r="A14" s="13" t="n">
        <v>9</v>
      </c>
      <c r="B14" s="14" t="inlineStr">
        <is>
          <t>AFZAL ALI</t>
        </is>
      </c>
      <c r="C14" s="14" t="inlineStr">
        <is>
          <t>DENTER</t>
        </is>
      </c>
      <c r="D14" s="14" t="inlineStr">
        <is>
          <t>TN0046</t>
        </is>
      </c>
      <c r="E14" s="13" t="n">
        <v>27</v>
      </c>
      <c r="F14" s="15">
        <f>E14*8</f>
        <v/>
      </c>
      <c r="G14" s="16" t="n">
        <v>0</v>
      </c>
      <c r="H14" s="15">
        <f>F14+G14</f>
        <v/>
      </c>
      <c r="I14" s="16" t="n">
        <v>171.12</v>
      </c>
      <c r="J14" s="17">
        <f>IFERROR(I14/H14,0)</f>
        <v/>
      </c>
      <c r="K14" s="17">
        <f>MAX(0,1-J14)</f>
        <v/>
      </c>
      <c r="L14" s="18" t="n">
        <v>14408.96</v>
      </c>
      <c r="M14" s="16" t="n">
        <v>171.12</v>
      </c>
      <c r="N14" s="15">
        <f>M14+E14*2</f>
        <v/>
      </c>
      <c r="O14" s="17">
        <f>MIN(1.25,J14+15%)</f>
        <v/>
      </c>
      <c r="P14" s="17">
        <f>J14</f>
        <v/>
      </c>
      <c r="Q14" s="17">
        <f>MIN(1.25,O14*P14/90%)</f>
        <v/>
      </c>
    </row>
    <row r="15">
      <c r="A15" s="13" t="n">
        <v>10</v>
      </c>
      <c r="B15" s="14" t="inlineStr">
        <is>
          <t>ALEX LAL</t>
        </is>
      </c>
      <c r="C15" s="14" t="inlineStr">
        <is>
          <t>DENTER</t>
        </is>
      </c>
      <c r="D15" s="14" t="inlineStr">
        <is>
          <t>TN0047</t>
        </is>
      </c>
      <c r="E15" s="13" t="n">
        <v>27</v>
      </c>
      <c r="F15" s="15">
        <f>E15*8</f>
        <v/>
      </c>
      <c r="G15" s="16" t="n">
        <v>0</v>
      </c>
      <c r="H15" s="15">
        <f>F15+G15</f>
        <v/>
      </c>
      <c r="I15" s="16" t="n">
        <v>175.95</v>
      </c>
      <c r="J15" s="17">
        <f>IFERROR(I15/H15,0)</f>
        <v/>
      </c>
      <c r="K15" s="17">
        <f>MAX(0,1-J15)</f>
        <v/>
      </c>
      <c r="L15" s="18" t="n">
        <v>14946.47</v>
      </c>
      <c r="M15" s="16" t="n">
        <v>175.95</v>
      </c>
      <c r="N15" s="15">
        <f>M15+E15*2</f>
        <v/>
      </c>
      <c r="O15" s="17">
        <f>MIN(1.25,J15+15%)</f>
        <v/>
      </c>
      <c r="P15" s="17">
        <f>J15</f>
        <v/>
      </c>
      <c r="Q15" s="17">
        <f>MIN(1.25,O15*P15/90%)</f>
        <v/>
      </c>
    </row>
    <row r="16">
      <c r="A16" s="13" t="n">
        <v>11</v>
      </c>
      <c r="B16" s="14" t="inlineStr">
        <is>
          <t>MOHAMMAD ALMAGIR</t>
        </is>
      </c>
      <c r="C16" s="14" t="inlineStr">
        <is>
          <t>MECHANIC</t>
        </is>
      </c>
      <c r="D16" s="14" t="inlineStr">
        <is>
          <t>TN0055</t>
        </is>
      </c>
      <c r="E16" s="13" t="n">
        <v>11</v>
      </c>
      <c r="F16" s="15">
        <f>E16*8</f>
        <v/>
      </c>
      <c r="G16" s="16" t="n">
        <v>4</v>
      </c>
      <c r="H16" s="15">
        <f>F16+G16</f>
        <v/>
      </c>
      <c r="I16" s="16" t="n">
        <v>38.84</v>
      </c>
      <c r="J16" s="17">
        <f>IFERROR(I16/H16,0)</f>
        <v/>
      </c>
      <c r="K16" s="17">
        <f>MAX(0,1-J16)</f>
        <v/>
      </c>
      <c r="L16" s="18" t="n">
        <v>3312.62</v>
      </c>
      <c r="M16" s="16" t="n">
        <v>38.84</v>
      </c>
      <c r="N16" s="15">
        <f>M16+E16*2</f>
        <v/>
      </c>
      <c r="O16" s="17">
        <f>MIN(1.25,J16+15%)</f>
        <v/>
      </c>
      <c r="P16" s="17">
        <f>J16</f>
        <v/>
      </c>
      <c r="Q16" s="17">
        <f>MIN(1.25,O16*P16/90%)</f>
        <v/>
      </c>
    </row>
    <row r="17">
      <c r="A17" s="13" t="n">
        <v>12</v>
      </c>
      <c r="B17" s="14" t="inlineStr">
        <is>
          <t>ADESH BARUA</t>
        </is>
      </c>
      <c r="C17" s="14" t="inlineStr">
        <is>
          <t>ELECTRICIAN</t>
        </is>
      </c>
      <c r="D17" s="14" t="inlineStr">
        <is>
          <t>TN0064</t>
        </is>
      </c>
      <c r="E17" s="13" t="n">
        <v>27</v>
      </c>
      <c r="F17" s="15">
        <f>E17*8</f>
        <v/>
      </c>
      <c r="G17" s="16" t="n">
        <v>1</v>
      </c>
      <c r="H17" s="15">
        <f>F17+G17</f>
        <v/>
      </c>
      <c r="I17" s="16" t="n">
        <v>173.42</v>
      </c>
      <c r="J17" s="17">
        <f>IFERROR(I17/H17,0)</f>
        <v/>
      </c>
      <c r="K17" s="17">
        <f>MAX(0,1-J17)</f>
        <v/>
      </c>
      <c r="L17" s="18" t="n">
        <v>14651.97</v>
      </c>
      <c r="M17" s="16" t="n">
        <v>173.42</v>
      </c>
      <c r="N17" s="15">
        <f>M17+E17*2</f>
        <v/>
      </c>
      <c r="O17" s="17">
        <f>MIN(1.25,J17+15%)</f>
        <v/>
      </c>
      <c r="P17" s="17">
        <f>J17</f>
        <v/>
      </c>
      <c r="Q17" s="17">
        <f>MIN(1.25,O17*P17/90%)</f>
        <v/>
      </c>
    </row>
    <row r="18">
      <c r="A18" s="13" t="n">
        <v>13</v>
      </c>
      <c r="B18" s="14" t="inlineStr">
        <is>
          <t>BIDYADHAR BHUYAN</t>
        </is>
      </c>
      <c r="C18" s="14" t="inlineStr">
        <is>
          <t>PAINTER</t>
        </is>
      </c>
      <c r="D18" s="14" t="inlineStr">
        <is>
          <t>TN0067</t>
        </is>
      </c>
      <c r="E18" s="13" t="n">
        <v>25</v>
      </c>
      <c r="F18" s="15">
        <f>E18*8</f>
        <v/>
      </c>
      <c r="G18" s="16" t="n">
        <v>2</v>
      </c>
      <c r="H18" s="15">
        <f>F18+G18</f>
        <v/>
      </c>
      <c r="I18" s="16" t="n">
        <v>155.77</v>
      </c>
      <c r="J18" s="17">
        <f>IFERROR(I18/H18,0)</f>
        <v/>
      </c>
      <c r="K18" s="17">
        <f>MAX(0,1-J18)</f>
        <v/>
      </c>
      <c r="L18" s="18" t="n">
        <v>13018.08</v>
      </c>
      <c r="M18" s="16" t="n">
        <v>155.77</v>
      </c>
      <c r="N18" s="15">
        <f>M18+E18*2</f>
        <v/>
      </c>
      <c r="O18" s="17">
        <f>MIN(1.25,J18+15%)</f>
        <v/>
      </c>
      <c r="P18" s="17">
        <f>J18</f>
        <v/>
      </c>
      <c r="Q18" s="17">
        <f>MIN(1.25,O18*P18/90%)</f>
        <v/>
      </c>
    </row>
    <row r="19">
      <c r="A19" s="13" t="n">
        <v>14</v>
      </c>
      <c r="B19" s="14" t="inlineStr">
        <is>
          <t>MOHAMMAD EHTESHAM</t>
        </is>
      </c>
      <c r="C19" s="14" t="inlineStr">
        <is>
          <t>PAINTER</t>
        </is>
      </c>
      <c r="D19" s="14" t="inlineStr">
        <is>
          <t>TN0069</t>
        </is>
      </c>
      <c r="E19" s="13" t="n">
        <v>27</v>
      </c>
      <c r="F19" s="15">
        <f>E19*8</f>
        <v/>
      </c>
      <c r="G19" s="16" t="n">
        <v>0</v>
      </c>
      <c r="H19" s="15">
        <f>F19+G19</f>
        <v/>
      </c>
      <c r="I19" s="16" t="n">
        <v>200.92</v>
      </c>
      <c r="J19" s="17">
        <f>IFERROR(I19/H19,0)</f>
        <v/>
      </c>
      <c r="K19" s="17">
        <f>MAX(0,1-J19)</f>
        <v/>
      </c>
      <c r="L19" s="18" t="n">
        <v>16984.65</v>
      </c>
      <c r="M19" s="16" t="n">
        <v>200.92</v>
      </c>
      <c r="N19" s="15">
        <f>M19+E19*2</f>
        <v/>
      </c>
      <c r="O19" s="17">
        <f>MIN(1.25,J19+15%)</f>
        <v/>
      </c>
      <c r="P19" s="17">
        <f>J19</f>
        <v/>
      </c>
      <c r="Q19" s="17">
        <f>MIN(1.25,O19*P19/90%)</f>
        <v/>
      </c>
    </row>
    <row r="20">
      <c r="A20" s="13" t="n">
        <v>15</v>
      </c>
      <c r="B20" s="14" t="inlineStr">
        <is>
          <t>SHAZADA ALI</t>
        </is>
      </c>
      <c r="C20" s="14" t="inlineStr">
        <is>
          <t>DENTER</t>
        </is>
      </c>
      <c r="D20" s="14" t="inlineStr">
        <is>
          <t>TN0072</t>
        </is>
      </c>
      <c r="E20" s="13" t="n">
        <v>27</v>
      </c>
      <c r="F20" s="15">
        <f>E20*8</f>
        <v/>
      </c>
      <c r="G20" s="16" t="n">
        <v>0</v>
      </c>
      <c r="H20" s="15">
        <f>F20+G20</f>
        <v/>
      </c>
      <c r="I20" s="16" t="n">
        <v>200.41</v>
      </c>
      <c r="J20" s="17">
        <f>IFERROR(I20/H20,0)</f>
        <v/>
      </c>
      <c r="K20" s="17">
        <f>MAX(0,1-J20)</f>
        <v/>
      </c>
      <c r="L20" s="18" t="n">
        <v>16849.32</v>
      </c>
      <c r="M20" s="16" t="n">
        <v>200.41</v>
      </c>
      <c r="N20" s="15">
        <f>M20+E20*2</f>
        <v/>
      </c>
      <c r="O20" s="17">
        <f>MIN(1.25,J20+15%)</f>
        <v/>
      </c>
      <c r="P20" s="17">
        <f>J20</f>
        <v/>
      </c>
      <c r="Q20" s="17">
        <f>MIN(1.25,O20*P20/90%)</f>
        <v/>
      </c>
    </row>
    <row r="21">
      <c r="A21" s="13" t="n">
        <v>16</v>
      </c>
      <c r="B21" s="14" t="inlineStr">
        <is>
          <t>DIVAKAREN</t>
        </is>
      </c>
      <c r="C21" s="14" t="inlineStr">
        <is>
          <t>ELECTRICIAN</t>
        </is>
      </c>
      <c r="D21" s="14" t="inlineStr">
        <is>
          <t>TN0073</t>
        </is>
      </c>
      <c r="E21" s="13" t="n">
        <v>24</v>
      </c>
      <c r="F21" s="15">
        <f>E21*8</f>
        <v/>
      </c>
      <c r="G21" s="16" t="n">
        <v>0</v>
      </c>
      <c r="H21" s="15">
        <f>F21+G21</f>
        <v/>
      </c>
      <c r="I21" s="16" t="n">
        <v>102.8</v>
      </c>
      <c r="J21" s="17">
        <f>IFERROR(I21/H21,0)</f>
        <v/>
      </c>
      <c r="K21" s="17">
        <f>MAX(0,1-J21)</f>
        <v/>
      </c>
      <c r="L21" s="18" t="n">
        <v>8911.549999999999</v>
      </c>
      <c r="M21" s="16" t="n">
        <v>102.8</v>
      </c>
      <c r="N21" s="15">
        <f>M21+E21*2</f>
        <v/>
      </c>
      <c r="O21" s="17">
        <f>MIN(1.25,J21+15%)</f>
        <v/>
      </c>
      <c r="P21" s="17">
        <f>J21</f>
        <v/>
      </c>
      <c r="Q21" s="17">
        <f>MIN(1.25,O21*P21/90%)</f>
        <v/>
      </c>
    </row>
    <row r="22">
      <c r="A22" s="13" t="n">
        <v>17</v>
      </c>
      <c r="B22" s="14" t="inlineStr">
        <is>
          <t>RAGHIN KUVVAKKAT</t>
        </is>
      </c>
      <c r="C22" s="14" t="inlineStr">
        <is>
          <t>MECHANIC</t>
        </is>
      </c>
      <c r="D22" s="14" t="inlineStr">
        <is>
          <t>TN0082</t>
        </is>
      </c>
      <c r="E22" s="13" t="n">
        <v>26</v>
      </c>
      <c r="F22" s="15">
        <f>E22*8</f>
        <v/>
      </c>
      <c r="G22" s="16" t="n">
        <v>2</v>
      </c>
      <c r="H22" s="15">
        <f>F22+G22</f>
        <v/>
      </c>
      <c r="I22" s="16" t="n">
        <v>148.48</v>
      </c>
      <c r="J22" s="17">
        <f>IFERROR(I22/H22,0)</f>
        <v/>
      </c>
      <c r="K22" s="17">
        <f>MAX(0,1-J22)</f>
        <v/>
      </c>
      <c r="L22" s="18" t="n">
        <v>12602.9</v>
      </c>
      <c r="M22" s="16" t="n">
        <v>148.48</v>
      </c>
      <c r="N22" s="15">
        <f>M22+E22*2</f>
        <v/>
      </c>
      <c r="O22" s="17">
        <f>MIN(1.25,J22+15%)</f>
        <v/>
      </c>
      <c r="P22" s="17">
        <f>J22</f>
        <v/>
      </c>
      <c r="Q22" s="17">
        <f>MIN(1.25,O22*P22/90%)</f>
        <v/>
      </c>
    </row>
    <row r="23">
      <c r="A23" s="13" t="n">
        <v>18</v>
      </c>
      <c r="B23" s="14" t="inlineStr">
        <is>
          <t>MARLON LANDICHO</t>
        </is>
      </c>
      <c r="C23" s="14" t="inlineStr">
        <is>
          <t>MECHANIC</t>
        </is>
      </c>
      <c r="D23" s="14" t="inlineStr">
        <is>
          <t>TN0089</t>
        </is>
      </c>
      <c r="E23" s="13" t="n">
        <v>26</v>
      </c>
      <c r="F23" s="15">
        <f>E23*8</f>
        <v/>
      </c>
      <c r="G23" s="16" t="n">
        <v>0</v>
      </c>
      <c r="H23" s="15">
        <f>F23+G23</f>
        <v/>
      </c>
      <c r="I23" s="16" t="n">
        <v>180.29</v>
      </c>
      <c r="J23" s="17">
        <f>IFERROR(I23/H23,0)</f>
        <v/>
      </c>
      <c r="K23" s="17">
        <f>MAX(0,1-J23)</f>
        <v/>
      </c>
      <c r="L23" s="18" t="n">
        <v>15443.28</v>
      </c>
      <c r="M23" s="16" t="n">
        <v>180.29</v>
      </c>
      <c r="N23" s="15">
        <f>M23+E23*2</f>
        <v/>
      </c>
      <c r="O23" s="17">
        <f>MIN(1.25,J23+15%)</f>
        <v/>
      </c>
      <c r="P23" s="17">
        <f>J23</f>
        <v/>
      </c>
      <c r="Q23" s="17">
        <f>MIN(1.25,O23*P23/90%)</f>
        <v/>
      </c>
    </row>
    <row r="24">
      <c r="A24" s="13" t="n">
        <v>19</v>
      </c>
      <c r="B24" s="14" t="inlineStr">
        <is>
          <t>LIJO SAJAN DANIEL</t>
        </is>
      </c>
      <c r="C24" s="14" t="inlineStr">
        <is>
          <t>MECHANIC</t>
        </is>
      </c>
      <c r="D24" s="14" t="inlineStr">
        <is>
          <t>TN0092</t>
        </is>
      </c>
      <c r="E24" s="13" t="n">
        <v>27</v>
      </c>
      <c r="F24" s="15">
        <f>E24*8</f>
        <v/>
      </c>
      <c r="G24" s="16" t="n">
        <v>0</v>
      </c>
      <c r="H24" s="15">
        <f>F24+G24</f>
        <v/>
      </c>
      <c r="I24" s="16" t="n">
        <v>171.04</v>
      </c>
      <c r="J24" s="17">
        <f>IFERROR(I24/H24,0)</f>
        <v/>
      </c>
      <c r="K24" s="17">
        <f>MAX(0,1-J24)</f>
        <v/>
      </c>
      <c r="L24" s="18" t="n">
        <v>14501.55</v>
      </c>
      <c r="M24" s="16" t="n">
        <v>171.04</v>
      </c>
      <c r="N24" s="15">
        <f>M24+E24*2</f>
        <v/>
      </c>
      <c r="O24" s="17">
        <f>MIN(1.25,J24+15%)</f>
        <v/>
      </c>
      <c r="P24" s="17">
        <f>J24</f>
        <v/>
      </c>
      <c r="Q24" s="17">
        <f>MIN(1.25,O24*P24/90%)</f>
        <v/>
      </c>
    </row>
    <row r="25">
      <c r="A25" s="13" t="n">
        <v>20</v>
      </c>
      <c r="B25" s="14" t="inlineStr">
        <is>
          <t>WASSIM AKKARI</t>
        </is>
      </c>
      <c r="C25" s="14" t="inlineStr">
        <is>
          <t>TYRE TECHNICIAN</t>
        </is>
      </c>
      <c r="D25" s="14" t="inlineStr">
        <is>
          <t>TN0096</t>
        </is>
      </c>
      <c r="E25" s="13" t="n">
        <v>26</v>
      </c>
      <c r="F25" s="15">
        <f>E25*8</f>
        <v/>
      </c>
      <c r="G25" s="16" t="n">
        <v>1</v>
      </c>
      <c r="H25" s="15">
        <f>F25+G25</f>
        <v/>
      </c>
      <c r="I25" s="16" t="n">
        <v>147.43</v>
      </c>
      <c r="J25" s="17">
        <f>IFERROR(I25/H25,0)</f>
        <v/>
      </c>
      <c r="K25" s="17">
        <f>MAX(0,1-J25)</f>
        <v/>
      </c>
      <c r="L25" s="18" t="n">
        <v>12634.87</v>
      </c>
      <c r="M25" s="16" t="n">
        <v>147.43</v>
      </c>
      <c r="N25" s="15">
        <f>M25+E25*2</f>
        <v/>
      </c>
      <c r="O25" s="17">
        <f>MIN(1.25,J25+15%)</f>
        <v/>
      </c>
      <c r="P25" s="17">
        <f>J25</f>
        <v/>
      </c>
      <c r="Q25" s="17">
        <f>MIN(1.25,O25*P25/90%)</f>
        <v/>
      </c>
    </row>
    <row r="26">
      <c r="A26" s="13" t="n">
        <v>21</v>
      </c>
      <c r="B26" s="14" t="inlineStr">
        <is>
          <t>MUHAMMAD NADEEM</t>
        </is>
      </c>
      <c r="C26" s="14" t="inlineStr">
        <is>
          <t>MECHANIC</t>
        </is>
      </c>
      <c r="D26" s="14" t="inlineStr">
        <is>
          <t>TN0107</t>
        </is>
      </c>
      <c r="E26" s="13" t="n">
        <v>27</v>
      </c>
      <c r="F26" s="15">
        <f>E26*8</f>
        <v/>
      </c>
      <c r="G26" s="16" t="n">
        <v>4</v>
      </c>
      <c r="H26" s="15">
        <f>F26+G26</f>
        <v/>
      </c>
      <c r="I26" s="16" t="n">
        <v>205.41</v>
      </c>
      <c r="J26" s="17">
        <f>IFERROR(I26/H26,0)</f>
        <v/>
      </c>
      <c r="K26" s="17">
        <f>MAX(0,1-J26)</f>
        <v/>
      </c>
      <c r="L26" s="18" t="n">
        <v>17563.55</v>
      </c>
      <c r="M26" s="16" t="n">
        <v>205.41</v>
      </c>
      <c r="N26" s="15">
        <f>M26+E26*2</f>
        <v/>
      </c>
      <c r="O26" s="17">
        <f>MIN(1.25,J26+15%)</f>
        <v/>
      </c>
      <c r="P26" s="17">
        <f>J26</f>
        <v/>
      </c>
      <c r="Q26" s="17">
        <f>MIN(1.25,O26*P26/90%)</f>
        <v/>
      </c>
    </row>
    <row r="27">
      <c r="A27" s="13" t="n">
        <v>22</v>
      </c>
      <c r="B27" s="14" t="inlineStr">
        <is>
          <t>SURESH NATRAJAN</t>
        </is>
      </c>
      <c r="C27" s="14" t="inlineStr">
        <is>
          <t>TYRE TECHNICIAN</t>
        </is>
      </c>
      <c r="D27" s="14" t="inlineStr">
        <is>
          <t>TN0109</t>
        </is>
      </c>
      <c r="E27" s="13" t="n">
        <v>26</v>
      </c>
      <c r="F27" s="15">
        <f>E27*8</f>
        <v/>
      </c>
      <c r="G27" s="16" t="n">
        <v>0</v>
      </c>
      <c r="H27" s="15">
        <f>F27+G27</f>
        <v/>
      </c>
      <c r="I27" s="16" t="n">
        <v>192.04</v>
      </c>
      <c r="J27" s="17">
        <f>IFERROR(I27/H27,0)</f>
        <v/>
      </c>
      <c r="K27" s="17">
        <f>MAX(0,1-J27)</f>
        <v/>
      </c>
      <c r="L27" s="18" t="n">
        <v>16459.2</v>
      </c>
      <c r="M27" s="16" t="n">
        <v>192.04</v>
      </c>
      <c r="N27" s="15">
        <f>M27+E27*2</f>
        <v/>
      </c>
      <c r="O27" s="17">
        <f>MIN(1.25,J27+15%)</f>
        <v/>
      </c>
      <c r="P27" s="17">
        <f>J27</f>
        <v/>
      </c>
      <c r="Q27" s="17">
        <f>MIN(1.25,O27*P27/90%)</f>
        <v/>
      </c>
    </row>
    <row r="28">
      <c r="A28" s="13" t="n">
        <v>23</v>
      </c>
      <c r="B28" s="14" t="inlineStr">
        <is>
          <t>NIKHIL VARKEY</t>
        </is>
      </c>
      <c r="C28" s="14" t="inlineStr">
        <is>
          <t>ELECTRICIAN</t>
        </is>
      </c>
      <c r="D28" s="14" t="inlineStr">
        <is>
          <t>TN0114</t>
        </is>
      </c>
      <c r="E28" s="13" t="n">
        <v>26</v>
      </c>
      <c r="F28" s="15">
        <f>E28*8</f>
        <v/>
      </c>
      <c r="G28" s="16" t="n">
        <v>4</v>
      </c>
      <c r="H28" s="15">
        <f>F28+G28</f>
        <v/>
      </c>
      <c r="I28" s="16" t="n">
        <v>106.76</v>
      </c>
      <c r="J28" s="17">
        <f>IFERROR(I28/H28,0)</f>
        <v/>
      </c>
      <c r="K28" s="17">
        <f>MAX(0,1-J28)</f>
        <v/>
      </c>
      <c r="L28" s="18" t="n">
        <v>9259.030000000001</v>
      </c>
      <c r="M28" s="16" t="n">
        <v>106.76</v>
      </c>
      <c r="N28" s="15">
        <f>M28+E28*2</f>
        <v/>
      </c>
      <c r="O28" s="17">
        <f>MIN(1.25,J28+15%)</f>
        <v/>
      </c>
      <c r="P28" s="17">
        <f>J28</f>
        <v/>
      </c>
      <c r="Q28" s="17">
        <f>MIN(1.25,O28*P28/90%)</f>
        <v/>
      </c>
    </row>
    <row r="29">
      <c r="A29" s="13" t="n">
        <v>24</v>
      </c>
      <c r="B29" s="14" t="inlineStr">
        <is>
          <t>SAFIQUE MAHAMMAD</t>
        </is>
      </c>
      <c r="C29" s="14" t="inlineStr">
        <is>
          <t>DENTER</t>
        </is>
      </c>
      <c r="D29" s="14" t="inlineStr">
        <is>
          <t>TN0116</t>
        </is>
      </c>
      <c r="E29" s="13" t="n">
        <v>27</v>
      </c>
      <c r="F29" s="15">
        <f>E29*8</f>
        <v/>
      </c>
      <c r="G29" s="16" t="n">
        <v>1</v>
      </c>
      <c r="H29" s="15">
        <f>F29+G29</f>
        <v/>
      </c>
      <c r="I29" s="16" t="n">
        <v>169.36</v>
      </c>
      <c r="J29" s="17">
        <f>IFERROR(I29/H29,0)</f>
        <v/>
      </c>
      <c r="K29" s="17">
        <f>MAX(0,1-J29)</f>
        <v/>
      </c>
      <c r="L29" s="18" t="n">
        <v>14705.65</v>
      </c>
      <c r="M29" s="16" t="n">
        <v>169.36</v>
      </c>
      <c r="N29" s="15">
        <f>M29+E29*2</f>
        <v/>
      </c>
      <c r="O29" s="17">
        <f>MIN(1.25,J29+15%)</f>
        <v/>
      </c>
      <c r="P29" s="17">
        <f>J29</f>
        <v/>
      </c>
      <c r="Q29" s="17">
        <f>MIN(1.25,O29*P29/90%)</f>
        <v/>
      </c>
    </row>
    <row r="30">
      <c r="A30" s="13" t="n">
        <v>25</v>
      </c>
      <c r="B30" s="14" t="inlineStr">
        <is>
          <t>MOHAMAMD RAJA</t>
        </is>
      </c>
      <c r="C30" s="14" t="inlineStr">
        <is>
          <t>PAINTER</t>
        </is>
      </c>
      <c r="D30" s="14" t="inlineStr">
        <is>
          <t>TN0121</t>
        </is>
      </c>
      <c r="E30" s="13" t="n">
        <v>25</v>
      </c>
      <c r="F30" s="15">
        <f>E30*8</f>
        <v/>
      </c>
      <c r="G30" s="16" t="n">
        <v>0</v>
      </c>
      <c r="H30" s="15">
        <f>F30+G30</f>
        <v/>
      </c>
      <c r="I30" s="16" t="n">
        <v>146.61</v>
      </c>
      <c r="J30" s="17">
        <f>IFERROR(I30/H30,0)</f>
        <v/>
      </c>
      <c r="K30" s="17">
        <f>MAX(0,1-J30)</f>
        <v/>
      </c>
      <c r="L30" s="18" t="n">
        <v>12426.61</v>
      </c>
      <c r="M30" s="16" t="n">
        <v>146.61</v>
      </c>
      <c r="N30" s="15">
        <f>M30+E30*2</f>
        <v/>
      </c>
      <c r="O30" s="17">
        <f>MIN(1.25,J30+15%)</f>
        <v/>
      </c>
      <c r="P30" s="17">
        <f>J30</f>
        <v/>
      </c>
      <c r="Q30" s="17">
        <f>MIN(1.25,O30*P30/90%)</f>
        <v/>
      </c>
    </row>
    <row r="31">
      <c r="A31" s="13" t="n">
        <v>26</v>
      </c>
      <c r="B31" s="14" t="inlineStr">
        <is>
          <t>EJAJ AHMAD</t>
        </is>
      </c>
      <c r="C31" s="14" t="inlineStr">
        <is>
          <t>DENTER</t>
        </is>
      </c>
      <c r="D31" s="14" t="inlineStr">
        <is>
          <t>TN0122</t>
        </is>
      </c>
      <c r="E31" s="13" t="n">
        <v>27</v>
      </c>
      <c r="F31" s="15">
        <f>E31*8</f>
        <v/>
      </c>
      <c r="G31" s="16" t="n">
        <v>0</v>
      </c>
      <c r="H31" s="15">
        <f>F31+G31</f>
        <v/>
      </c>
      <c r="I31" s="16" t="n">
        <v>188.82</v>
      </c>
      <c r="J31" s="17">
        <f>IFERROR(I31/H31,0)</f>
        <v/>
      </c>
      <c r="K31" s="17">
        <f>MAX(0,1-J31)</f>
        <v/>
      </c>
      <c r="L31" s="18" t="n">
        <v>16200.66</v>
      </c>
      <c r="M31" s="16" t="n">
        <v>188.82</v>
      </c>
      <c r="N31" s="15">
        <f>M31+E31*2</f>
        <v/>
      </c>
      <c r="O31" s="17">
        <f>MIN(1.25,J31+15%)</f>
        <v/>
      </c>
      <c r="P31" s="17">
        <f>J31</f>
        <v/>
      </c>
      <c r="Q31" s="17">
        <f>MIN(1.25,O31*P31/90%)</f>
        <v/>
      </c>
    </row>
    <row r="32">
      <c r="A32" s="13" t="n">
        <v>27</v>
      </c>
      <c r="B32" s="14" t="inlineStr">
        <is>
          <t>MUHAMMAD ALMAS</t>
        </is>
      </c>
      <c r="C32" s="14" t="inlineStr">
        <is>
          <t>DENTER</t>
        </is>
      </c>
      <c r="D32" s="14" t="inlineStr">
        <is>
          <t>TN0128</t>
        </is>
      </c>
      <c r="E32" s="13" t="n">
        <v>24</v>
      </c>
      <c r="F32" s="15">
        <f>E32*8</f>
        <v/>
      </c>
      <c r="G32" s="16" t="n">
        <v>0</v>
      </c>
      <c r="H32" s="15">
        <f>F32+G32</f>
        <v/>
      </c>
      <c r="I32" s="16" t="n">
        <v>117.67</v>
      </c>
      <c r="J32" s="17">
        <f>IFERROR(I32/H32,0)</f>
        <v/>
      </c>
      <c r="K32" s="17">
        <f>MAX(0,1-J32)</f>
        <v/>
      </c>
      <c r="L32" s="18" t="n">
        <v>10247.11</v>
      </c>
      <c r="M32" s="16" t="n">
        <v>117.67</v>
      </c>
      <c r="N32" s="15">
        <f>M32+E32*2</f>
        <v/>
      </c>
      <c r="O32" s="17">
        <f>MIN(1.25,J32+15%)</f>
        <v/>
      </c>
      <c r="P32" s="17">
        <f>J32</f>
        <v/>
      </c>
      <c r="Q32" s="17">
        <f>MIN(1.25,O32*P32/90%)</f>
        <v/>
      </c>
    </row>
    <row r="33">
      <c r="A33" s="13" t="n">
        <v>28</v>
      </c>
      <c r="B33" s="14" t="inlineStr">
        <is>
          <t>Zeshan</t>
        </is>
      </c>
      <c r="C33" s="14" t="inlineStr">
        <is>
          <t>DENTER</t>
        </is>
      </c>
      <c r="D33" s="14" t="inlineStr">
        <is>
          <t>TN0141</t>
        </is>
      </c>
      <c r="E33" s="13" t="n">
        <v>25</v>
      </c>
      <c r="F33" s="15">
        <f>E33*8</f>
        <v/>
      </c>
      <c r="G33" s="16" t="n">
        <v>0</v>
      </c>
      <c r="H33" s="15">
        <f>F33+G33</f>
        <v/>
      </c>
      <c r="I33" s="16" t="n">
        <v>183.83</v>
      </c>
      <c r="J33" s="17">
        <f>IFERROR(I33/H33,0)</f>
        <v/>
      </c>
      <c r="K33" s="17">
        <f>MAX(0,1-J33)</f>
        <v/>
      </c>
      <c r="L33" s="18" t="n">
        <v>15823.59</v>
      </c>
      <c r="M33" s="16" t="n">
        <v>183.83</v>
      </c>
      <c r="N33" s="15">
        <f>M33+E33*2</f>
        <v/>
      </c>
      <c r="O33" s="17">
        <f>MIN(1.25,J33+15%)</f>
        <v/>
      </c>
      <c r="P33" s="17">
        <f>J33</f>
        <v/>
      </c>
      <c r="Q33" s="17">
        <f>MIN(1.25,O33*P33/90%)</f>
        <v/>
      </c>
    </row>
    <row r="34">
      <c r="A34" s="13" t="n">
        <v>29</v>
      </c>
      <c r="B34" s="14" t="inlineStr">
        <is>
          <t>SAIDAB AHAMED</t>
        </is>
      </c>
      <c r="C34" s="14" t="inlineStr">
        <is>
          <t>TYRE TECHNICIAN</t>
        </is>
      </c>
      <c r="D34" s="14" t="inlineStr">
        <is>
          <t>TN0150</t>
        </is>
      </c>
      <c r="E34" s="13" t="n">
        <v>26</v>
      </c>
      <c r="F34" s="15">
        <f>E34*8</f>
        <v/>
      </c>
      <c r="G34" s="16" t="n">
        <v>0</v>
      </c>
      <c r="H34" s="15">
        <f>F34+G34</f>
        <v/>
      </c>
      <c r="I34" s="16" t="n">
        <v>182.8</v>
      </c>
      <c r="J34" s="17">
        <f>IFERROR(I34/H34,0)</f>
        <v/>
      </c>
      <c r="K34" s="17">
        <f>MAX(0,1-J34)</f>
        <v/>
      </c>
      <c r="L34" s="18" t="n">
        <v>15185.99</v>
      </c>
      <c r="M34" s="16" t="n">
        <v>182.8</v>
      </c>
      <c r="N34" s="15">
        <f>M34+E34*2</f>
        <v/>
      </c>
      <c r="O34" s="17">
        <f>MIN(1.25,J34+15%)</f>
        <v/>
      </c>
      <c r="P34" s="17">
        <f>J34</f>
        <v/>
      </c>
      <c r="Q34" s="17">
        <f>MIN(1.25,O34*P34/90%)</f>
        <v/>
      </c>
    </row>
    <row r="35">
      <c r="A35" s="13" t="n">
        <v>30</v>
      </c>
      <c r="B35" s="14" t="inlineStr">
        <is>
          <t>FRANCIS AGEWI</t>
        </is>
      </c>
      <c r="C35" s="14" t="inlineStr">
        <is>
          <t>MECHANIC</t>
        </is>
      </c>
      <c r="D35" s="14" t="inlineStr">
        <is>
          <t>TN0171</t>
        </is>
      </c>
      <c r="E35" s="13" t="n">
        <v>25</v>
      </c>
      <c r="F35" s="15">
        <f>E35*8</f>
        <v/>
      </c>
      <c r="G35" s="16" t="n">
        <v>1</v>
      </c>
      <c r="H35" s="15">
        <f>F35+G35</f>
        <v/>
      </c>
      <c r="I35" s="16" t="n">
        <v>185.14</v>
      </c>
      <c r="J35" s="17">
        <f>IFERROR(I35/H35,0)</f>
        <v/>
      </c>
      <c r="K35" s="17">
        <f>MAX(0,1-J35)</f>
        <v/>
      </c>
      <c r="L35" s="18" t="n">
        <v>16093.14</v>
      </c>
      <c r="M35" s="16" t="n">
        <v>185.14</v>
      </c>
      <c r="N35" s="15">
        <f>M35+E35*2</f>
        <v/>
      </c>
      <c r="O35" s="17">
        <f>MIN(1.25,J35+15%)</f>
        <v/>
      </c>
      <c r="P35" s="17">
        <f>J35</f>
        <v/>
      </c>
      <c r="Q35" s="17">
        <f>MIN(1.25,O35*P35/90%)</f>
        <v/>
      </c>
    </row>
    <row r="36">
      <c r="A36" s="13" t="n">
        <v>31</v>
      </c>
      <c r="B36" s="14" t="inlineStr">
        <is>
          <t>Ally Ibrahim</t>
        </is>
      </c>
      <c r="C36" s="14" t="inlineStr">
        <is>
          <t>DENTER</t>
        </is>
      </c>
      <c r="D36" s="14" t="inlineStr">
        <is>
          <t>TN0180</t>
        </is>
      </c>
      <c r="E36" s="13" t="n">
        <v>16</v>
      </c>
      <c r="F36" s="15">
        <f>E36*8</f>
        <v/>
      </c>
      <c r="G36" s="16" t="n">
        <v>0</v>
      </c>
      <c r="H36" s="15">
        <f>F36+G36</f>
        <v/>
      </c>
      <c r="I36" s="16" t="n">
        <v>34.36</v>
      </c>
      <c r="J36" s="17">
        <f>IFERROR(I36/H36,0)</f>
        <v/>
      </c>
      <c r="K36" s="17">
        <f>MAX(0,1-J36)</f>
        <v/>
      </c>
      <c r="L36" s="18" t="n">
        <v>2951.03</v>
      </c>
      <c r="M36" s="16" t="n">
        <v>34.36</v>
      </c>
      <c r="N36" s="15">
        <f>M36+E36*2</f>
        <v/>
      </c>
      <c r="O36" s="17">
        <f>MIN(1.25,J36+15%)</f>
        <v/>
      </c>
      <c r="P36" s="17">
        <f>J36</f>
        <v/>
      </c>
      <c r="Q36" s="17">
        <f>MIN(1.25,O36*P36/90%)</f>
        <v/>
      </c>
    </row>
    <row r="37">
      <c r="A37" s="13" t="n">
        <v>32</v>
      </c>
      <c r="B37" s="14" t="inlineStr">
        <is>
          <t>RATHEETH PANICHOTH</t>
        </is>
      </c>
      <c r="C37" s="14" t="inlineStr">
        <is>
          <t>ELECTRICIAN</t>
        </is>
      </c>
      <c r="D37" s="14" t="inlineStr">
        <is>
          <t>TN0181</t>
        </is>
      </c>
      <c r="E37" s="13" t="n">
        <v>26</v>
      </c>
      <c r="F37" s="15">
        <f>E37*8</f>
        <v/>
      </c>
      <c r="G37" s="16" t="n">
        <v>1</v>
      </c>
      <c r="H37" s="15">
        <f>F37+G37</f>
        <v/>
      </c>
      <c r="I37" s="16" t="n">
        <v>168.02</v>
      </c>
      <c r="J37" s="17">
        <f>IFERROR(I37/H37,0)</f>
        <v/>
      </c>
      <c r="K37" s="17">
        <f>MAX(0,1-J37)</f>
        <v/>
      </c>
      <c r="L37" s="18" t="n">
        <v>14368.55</v>
      </c>
      <c r="M37" s="16" t="n">
        <v>168.02</v>
      </c>
      <c r="N37" s="15">
        <f>M37+E37*2</f>
        <v/>
      </c>
      <c r="O37" s="17">
        <f>MIN(1.25,J37+15%)</f>
        <v/>
      </c>
      <c r="P37" s="17">
        <f>J37</f>
        <v/>
      </c>
      <c r="Q37" s="17">
        <f>MIN(1.25,O37*P37/90%)</f>
        <v/>
      </c>
    </row>
    <row r="38">
      <c r="A38" s="13" t="n">
        <v>33</v>
      </c>
      <c r="B38" s="14" t="inlineStr">
        <is>
          <t>MARK KAYIGO</t>
        </is>
      </c>
      <c r="C38" s="14" t="inlineStr">
        <is>
          <t>MECHANIC</t>
        </is>
      </c>
      <c r="D38" s="14" t="inlineStr">
        <is>
          <t>TN0182</t>
        </is>
      </c>
      <c r="E38" s="13" t="n">
        <v>26</v>
      </c>
      <c r="F38" s="15">
        <f>E38*8</f>
        <v/>
      </c>
      <c r="G38" s="16" t="n">
        <v>0</v>
      </c>
      <c r="H38" s="15">
        <f>F38+G38</f>
        <v/>
      </c>
      <c r="I38" s="16" t="n">
        <v>194.03</v>
      </c>
      <c r="J38" s="17">
        <f>IFERROR(I38/H38,0)</f>
        <v/>
      </c>
      <c r="K38" s="17">
        <f>MAX(0,1-J38)</f>
        <v/>
      </c>
      <c r="L38" s="18" t="n">
        <v>16217.28</v>
      </c>
      <c r="M38" s="16" t="n">
        <v>194.03</v>
      </c>
      <c r="N38" s="15">
        <f>M38+E38*2</f>
        <v/>
      </c>
      <c r="O38" s="17">
        <f>MIN(1.25,J38+15%)</f>
        <v/>
      </c>
      <c r="P38" s="17">
        <f>J38</f>
        <v/>
      </c>
      <c r="Q38" s="17">
        <f>MIN(1.25,O38*P38/90%)</f>
        <v/>
      </c>
    </row>
    <row r="39">
      <c r="A39" s="13" t="n">
        <v>34</v>
      </c>
      <c r="B39" s="14" t="inlineStr">
        <is>
          <t>ENAYAT SHAIKH ALI SHAIKH</t>
        </is>
      </c>
      <c r="C39" s="14" t="inlineStr">
        <is>
          <t>PAINTER</t>
        </is>
      </c>
      <c r="D39" s="14" t="inlineStr">
        <is>
          <t>TN0185</t>
        </is>
      </c>
      <c r="E39" s="13" t="n">
        <v>27</v>
      </c>
      <c r="F39" s="15">
        <f>E39*8</f>
        <v/>
      </c>
      <c r="G39" s="16" t="n">
        <v>0</v>
      </c>
      <c r="H39" s="15">
        <f>F39+G39</f>
        <v/>
      </c>
      <c r="I39" s="16" t="n">
        <v>171.75</v>
      </c>
      <c r="J39" s="17">
        <f>IFERROR(I39/H39,0)</f>
        <v/>
      </c>
      <c r="K39" s="17">
        <f>MAX(0,1-J39)</f>
        <v/>
      </c>
      <c r="L39" s="18" t="n">
        <v>14523.62</v>
      </c>
      <c r="M39" s="16" t="n">
        <v>171.75</v>
      </c>
      <c r="N39" s="15">
        <f>M39+E39*2</f>
        <v/>
      </c>
      <c r="O39" s="17">
        <f>MIN(1.25,J39+15%)</f>
        <v/>
      </c>
      <c r="P39" s="17">
        <f>J39</f>
        <v/>
      </c>
      <c r="Q39" s="17">
        <f>MIN(1.25,O39*P39/90%)</f>
        <v/>
      </c>
    </row>
    <row r="40">
      <c r="A40" s="13" t="n">
        <v>35</v>
      </c>
      <c r="B40" s="14" t="inlineStr">
        <is>
          <t>WAQAS GUL KHAN</t>
        </is>
      </c>
      <c r="C40" s="14" t="inlineStr">
        <is>
          <t>PAINTER</t>
        </is>
      </c>
      <c r="D40" s="14" t="inlineStr">
        <is>
          <t>TN0186</t>
        </is>
      </c>
      <c r="E40" s="13" t="n">
        <v>27</v>
      </c>
      <c r="F40" s="15">
        <f>E40*8</f>
        <v/>
      </c>
      <c r="G40" s="16" t="n">
        <v>0</v>
      </c>
      <c r="H40" s="15">
        <f>F40+G40</f>
        <v/>
      </c>
      <c r="I40" s="16" t="n">
        <v>182.33</v>
      </c>
      <c r="J40" s="17">
        <f>IFERROR(I40/H40,0)</f>
        <v/>
      </c>
      <c r="K40" s="17">
        <f>MAX(0,1-J40)</f>
        <v/>
      </c>
      <c r="L40" s="18" t="n">
        <v>15667.75</v>
      </c>
      <c r="M40" s="16" t="n">
        <v>182.33</v>
      </c>
      <c r="N40" s="15">
        <f>M40+E40*2</f>
        <v/>
      </c>
      <c r="O40" s="17">
        <f>MIN(1.25,J40+15%)</f>
        <v/>
      </c>
      <c r="P40" s="17">
        <f>J40</f>
        <v/>
      </c>
      <c r="Q40" s="17">
        <f>MIN(1.25,O40*P40/90%)</f>
        <v/>
      </c>
    </row>
    <row r="41">
      <c r="A41" s="13" t="n">
        <v>36</v>
      </c>
      <c r="B41" s="14" t="inlineStr">
        <is>
          <t>FARHAN AHAMAD</t>
        </is>
      </c>
      <c r="C41" s="14" t="inlineStr">
        <is>
          <t>MECHANIC</t>
        </is>
      </c>
      <c r="D41" s="14" t="inlineStr">
        <is>
          <t>TN0187</t>
        </is>
      </c>
      <c r="E41" s="13" t="n">
        <v>27</v>
      </c>
      <c r="F41" s="15">
        <f>E41*8</f>
        <v/>
      </c>
      <c r="G41" s="16" t="n">
        <v>4</v>
      </c>
      <c r="H41" s="15">
        <f>F41+G41</f>
        <v/>
      </c>
      <c r="I41" s="16" t="n">
        <v>199.95</v>
      </c>
      <c r="J41" s="17">
        <f>IFERROR(I41/H41,0)</f>
        <v/>
      </c>
      <c r="K41" s="17">
        <f>MAX(0,1-J41)</f>
        <v/>
      </c>
      <c r="L41" s="18" t="n">
        <v>16811.88</v>
      </c>
      <c r="M41" s="16" t="n">
        <v>199.95</v>
      </c>
      <c r="N41" s="15">
        <f>M41+E41*2</f>
        <v/>
      </c>
      <c r="O41" s="17">
        <f>MIN(1.25,J41+15%)</f>
        <v/>
      </c>
      <c r="P41" s="17">
        <f>J41</f>
        <v/>
      </c>
      <c r="Q41" s="17">
        <f>MIN(1.25,O41*P41/90%)</f>
        <v/>
      </c>
    </row>
    <row r="42">
      <c r="A42" s="13" t="n">
        <v>37</v>
      </c>
      <c r="B42" s="14" t="inlineStr">
        <is>
          <t>ABDELILAH BOUDINA</t>
        </is>
      </c>
      <c r="C42" s="14" t="inlineStr">
        <is>
          <t>PAINTER</t>
        </is>
      </c>
      <c r="D42" s="14" t="inlineStr">
        <is>
          <t>TN0201</t>
        </is>
      </c>
      <c r="E42" s="13" t="n">
        <v>1</v>
      </c>
      <c r="F42" s="15">
        <f>E42*8</f>
        <v/>
      </c>
      <c r="G42" s="16" t="n">
        <v>1</v>
      </c>
      <c r="H42" s="15">
        <f>F42+G42</f>
        <v/>
      </c>
      <c r="I42" s="16" t="n">
        <v>0.73</v>
      </c>
      <c r="J42" s="17">
        <f>IFERROR(I42/H42,0)</f>
        <v/>
      </c>
      <c r="K42" s="17">
        <f>MAX(0,1-J42)</f>
        <v/>
      </c>
      <c r="L42" s="18" t="n">
        <v>60.85</v>
      </c>
      <c r="M42" s="16" t="n">
        <v>0.73</v>
      </c>
      <c r="N42" s="15">
        <f>M42+E42*2</f>
        <v/>
      </c>
      <c r="O42" s="17">
        <f>MIN(1.25,J42+15%)</f>
        <v/>
      </c>
      <c r="P42" s="17">
        <f>J42</f>
        <v/>
      </c>
      <c r="Q42" s="17">
        <f>MIN(1.25,O42*P42/90%)</f>
        <v/>
      </c>
    </row>
    <row r="43">
      <c r="A43" s="13" t="n">
        <v>38</v>
      </c>
      <c r="B43" s="14" t="inlineStr">
        <is>
          <t>Jerin Kurian Varghese</t>
        </is>
      </c>
      <c r="C43" s="14" t="inlineStr">
        <is>
          <t>MECHANIC</t>
        </is>
      </c>
      <c r="D43" s="14" t="inlineStr">
        <is>
          <t>TN0204</t>
        </is>
      </c>
      <c r="E43" s="13" t="n">
        <v>24</v>
      </c>
      <c r="F43" s="15">
        <f>E43*8</f>
        <v/>
      </c>
      <c r="G43" s="16" t="n">
        <v>0</v>
      </c>
      <c r="H43" s="15">
        <f>F43+G43</f>
        <v/>
      </c>
      <c r="I43" s="16" t="n">
        <v>166.53</v>
      </c>
      <c r="J43" s="17">
        <f>IFERROR(I43/H43,0)</f>
        <v/>
      </c>
      <c r="K43" s="17">
        <f>MAX(0,1-J43)</f>
        <v/>
      </c>
      <c r="L43" s="18" t="n">
        <v>14125.49</v>
      </c>
      <c r="M43" s="16" t="n">
        <v>166.53</v>
      </c>
      <c r="N43" s="15">
        <f>M43+E43*2</f>
        <v/>
      </c>
      <c r="O43" s="17">
        <f>MIN(1.25,J43+15%)</f>
        <v/>
      </c>
      <c r="P43" s="17">
        <f>J43</f>
        <v/>
      </c>
      <c r="Q43" s="17">
        <f>MIN(1.25,O43*P43/90%)</f>
        <v/>
      </c>
    </row>
    <row r="44">
      <c r="A44" s="13" t="n">
        <v>39</v>
      </c>
      <c r="B44" s="14" t="inlineStr">
        <is>
          <t>Mohammed Monjur</t>
        </is>
      </c>
      <c r="C44" s="14" t="inlineStr">
        <is>
          <t>MECHANIC</t>
        </is>
      </c>
      <c r="D44" s="14" t="inlineStr">
        <is>
          <t>TN0209</t>
        </is>
      </c>
      <c r="E44" s="13" t="n">
        <v>27</v>
      </c>
      <c r="F44" s="15">
        <f>E44*8</f>
        <v/>
      </c>
      <c r="G44" s="16" t="n">
        <v>0</v>
      </c>
      <c r="H44" s="15">
        <f>F44+G44</f>
        <v/>
      </c>
      <c r="I44" s="16" t="n">
        <v>210.41</v>
      </c>
      <c r="J44" s="17">
        <f>IFERROR(I44/H44,0)</f>
        <v/>
      </c>
      <c r="K44" s="17">
        <f>MAX(0,1-J44)</f>
        <v/>
      </c>
      <c r="L44" s="18" t="n">
        <v>17933.37</v>
      </c>
      <c r="M44" s="16" t="n">
        <v>210.41</v>
      </c>
      <c r="N44" s="15">
        <f>M44+E44*2</f>
        <v/>
      </c>
      <c r="O44" s="17">
        <f>MIN(1.25,J44+15%)</f>
        <v/>
      </c>
      <c r="P44" s="17">
        <f>J44</f>
        <v/>
      </c>
      <c r="Q44" s="17">
        <f>MIN(1.25,O44*P44/90%)</f>
        <v/>
      </c>
    </row>
    <row r="45">
      <c r="A45" s="13" t="n">
        <v>40</v>
      </c>
      <c r="B45" s="14" t="inlineStr">
        <is>
          <t>ZEGER HAYAT MOHAMMAD ZA</t>
        </is>
      </c>
      <c r="C45" s="14" t="inlineStr">
        <is>
          <t>MECHANIC</t>
        </is>
      </c>
      <c r="D45" s="14" t="inlineStr">
        <is>
          <t>TN0210</t>
        </is>
      </c>
      <c r="E45" s="13" t="n">
        <v>24</v>
      </c>
      <c r="F45" s="15">
        <f>E45*8</f>
        <v/>
      </c>
      <c r="G45" s="16" t="n">
        <v>0</v>
      </c>
      <c r="H45" s="15">
        <f>F45+G45</f>
        <v/>
      </c>
      <c r="I45" s="16" t="n">
        <v>127.86</v>
      </c>
      <c r="J45" s="17">
        <f>IFERROR(I45/H45,0)</f>
        <v/>
      </c>
      <c r="K45" s="17">
        <f>MAX(0,1-J45)</f>
        <v/>
      </c>
      <c r="L45" s="18" t="n">
        <v>10924.42</v>
      </c>
      <c r="M45" s="16" t="n">
        <v>127.86</v>
      </c>
      <c r="N45" s="15">
        <f>M45+E45*2</f>
        <v/>
      </c>
      <c r="O45" s="17">
        <f>MIN(1.25,J45+15%)</f>
        <v/>
      </c>
      <c r="P45" s="17">
        <f>J45</f>
        <v/>
      </c>
      <c r="Q45" s="17">
        <f>MIN(1.25,O45*P45/90%)</f>
        <v/>
      </c>
    </row>
    <row r="46">
      <c r="A46" s="13" t="n">
        <v>41</v>
      </c>
      <c r="B46" s="14" t="inlineStr">
        <is>
          <t>BIJU M UNNI</t>
        </is>
      </c>
      <c r="C46" s="14" t="inlineStr">
        <is>
          <t>PAINTER</t>
        </is>
      </c>
      <c r="D46" s="14" t="inlineStr">
        <is>
          <t>TN0220</t>
        </is>
      </c>
      <c r="E46" s="13" t="n">
        <v>27</v>
      </c>
      <c r="F46" s="15">
        <f>E46*8</f>
        <v/>
      </c>
      <c r="G46" s="16" t="n">
        <v>2</v>
      </c>
      <c r="H46" s="15">
        <f>F46+G46</f>
        <v/>
      </c>
      <c r="I46" s="16" t="n">
        <v>121.88</v>
      </c>
      <c r="J46" s="17">
        <f>IFERROR(I46/H46,0)</f>
        <v/>
      </c>
      <c r="K46" s="17">
        <f>MAX(0,1-J46)</f>
        <v/>
      </c>
      <c r="L46" s="18" t="n">
        <v>10419.23</v>
      </c>
      <c r="M46" s="16" t="n">
        <v>121.88</v>
      </c>
      <c r="N46" s="15">
        <f>M46+E46*2</f>
        <v/>
      </c>
      <c r="O46" s="17">
        <f>MIN(1.25,J46+15%)</f>
        <v/>
      </c>
      <c r="P46" s="17">
        <f>J46</f>
        <v/>
      </c>
      <c r="Q46" s="17">
        <f>MIN(1.25,O46*P46/90%)</f>
        <v/>
      </c>
    </row>
    <row r="47">
      <c r="A47" s="13" t="n">
        <v>42</v>
      </c>
      <c r="B47" s="14" t="inlineStr">
        <is>
          <t>DIBAKAR SAHOO MURALDHAR</t>
        </is>
      </c>
      <c r="C47" s="14" t="inlineStr">
        <is>
          <t>PAINTER</t>
        </is>
      </c>
      <c r="D47" s="14" t="inlineStr">
        <is>
          <t>TN0222</t>
        </is>
      </c>
      <c r="E47" s="13" t="n">
        <v>27</v>
      </c>
      <c r="F47" s="15">
        <f>E47*8</f>
        <v/>
      </c>
      <c r="G47" s="16" t="n">
        <v>0</v>
      </c>
      <c r="H47" s="15">
        <f>F47+G47</f>
        <v/>
      </c>
      <c r="I47" s="16" t="n">
        <v>191.06</v>
      </c>
      <c r="J47" s="17">
        <f>IFERROR(I47/H47,0)</f>
        <v/>
      </c>
      <c r="K47" s="17">
        <f>MAX(0,1-J47)</f>
        <v/>
      </c>
      <c r="L47" s="18" t="n">
        <v>15978.95</v>
      </c>
      <c r="M47" s="16" t="n">
        <v>191.06</v>
      </c>
      <c r="N47" s="15">
        <f>M47+E47*2</f>
        <v/>
      </c>
      <c r="O47" s="17">
        <f>MIN(1.25,J47+15%)</f>
        <v/>
      </c>
      <c r="P47" s="17">
        <f>J47</f>
        <v/>
      </c>
      <c r="Q47" s="17">
        <f>MIN(1.25,O47*P47/90%)</f>
        <v/>
      </c>
    </row>
    <row r="48">
      <c r="A48" s="13" t="n">
        <v>43</v>
      </c>
      <c r="B48" s="14" t="inlineStr">
        <is>
          <t>SHAIKH MUSTAQUE ALI</t>
        </is>
      </c>
      <c r="C48" s="14" t="inlineStr">
        <is>
          <t>DENTER</t>
        </is>
      </c>
      <c r="D48" s="14" t="inlineStr">
        <is>
          <t>TN0224</t>
        </is>
      </c>
      <c r="E48" s="13" t="n">
        <v>24</v>
      </c>
      <c r="F48" s="15">
        <f>E48*8</f>
        <v/>
      </c>
      <c r="G48" s="16" t="n">
        <v>0</v>
      </c>
      <c r="H48" s="15">
        <f>F48+G48</f>
        <v/>
      </c>
      <c r="I48" s="16" t="n">
        <v>146.73</v>
      </c>
      <c r="J48" s="17">
        <f>IFERROR(I48/H48,0)</f>
        <v/>
      </c>
      <c r="K48" s="17">
        <f>MAX(0,1-J48)</f>
        <v/>
      </c>
      <c r="L48" s="18" t="n">
        <v>12343.84</v>
      </c>
      <c r="M48" s="16" t="n">
        <v>146.73</v>
      </c>
      <c r="N48" s="15">
        <f>M48+E48*2</f>
        <v/>
      </c>
      <c r="O48" s="17">
        <f>MIN(1.25,J48+15%)</f>
        <v/>
      </c>
      <c r="P48" s="17">
        <f>J48</f>
        <v/>
      </c>
      <c r="Q48" s="17">
        <f>MIN(1.25,O48*P48/90%)</f>
        <v/>
      </c>
    </row>
    <row r="49">
      <c r="A49" s="13" t="n">
        <v>44</v>
      </c>
      <c r="B49" s="14" t="inlineStr">
        <is>
          <t>ZEESHAN IHSAN ULLAH</t>
        </is>
      </c>
      <c r="C49" s="14" t="inlineStr">
        <is>
          <t>DENTER</t>
        </is>
      </c>
      <c r="D49" s="14" t="inlineStr">
        <is>
          <t>TN0226</t>
        </is>
      </c>
      <c r="E49" s="13" t="n">
        <v>27</v>
      </c>
      <c r="F49" s="15">
        <f>E49*8</f>
        <v/>
      </c>
      <c r="G49" s="16" t="n">
        <v>0</v>
      </c>
      <c r="H49" s="15">
        <f>F49+G49</f>
        <v/>
      </c>
      <c r="I49" s="16" t="n">
        <v>190.63</v>
      </c>
      <c r="J49" s="17">
        <f>IFERROR(I49/H49,0)</f>
        <v/>
      </c>
      <c r="K49" s="17">
        <f>MAX(0,1-J49)</f>
        <v/>
      </c>
      <c r="L49" s="18" t="n">
        <v>16544.55</v>
      </c>
      <c r="M49" s="16" t="n">
        <v>190.63</v>
      </c>
      <c r="N49" s="15">
        <f>M49+E49*2</f>
        <v/>
      </c>
      <c r="O49" s="17">
        <f>MIN(1.25,J49+15%)</f>
        <v/>
      </c>
      <c r="P49" s="17">
        <f>J49</f>
        <v/>
      </c>
      <c r="Q49" s="17">
        <f>MIN(1.25,O49*P49/90%)</f>
        <v/>
      </c>
    </row>
    <row r="50">
      <c r="A50" s="13" t="n">
        <v>45</v>
      </c>
      <c r="B50" s="14" t="inlineStr">
        <is>
          <t>MIR EJAJ ALI</t>
        </is>
      </c>
      <c r="C50" s="14" t="inlineStr">
        <is>
          <t>PAINTER</t>
        </is>
      </c>
      <c r="D50" s="14" t="inlineStr">
        <is>
          <t>TN0227</t>
        </is>
      </c>
      <c r="E50" s="13" t="n">
        <v>17</v>
      </c>
      <c r="F50" s="15">
        <f>E50*8</f>
        <v/>
      </c>
      <c r="G50" s="16" t="n">
        <v>2</v>
      </c>
      <c r="H50" s="15">
        <f>F50+G50</f>
        <v/>
      </c>
      <c r="I50" s="16" t="n">
        <v>102.95</v>
      </c>
      <c r="J50" s="17">
        <f>IFERROR(I50/H50,0)</f>
        <v/>
      </c>
      <c r="K50" s="17">
        <f>MAX(0,1-J50)</f>
        <v/>
      </c>
      <c r="L50" s="18" t="n">
        <v>8542.25</v>
      </c>
      <c r="M50" s="16" t="n">
        <v>102.95</v>
      </c>
      <c r="N50" s="15">
        <f>M50+E50*2</f>
        <v/>
      </c>
      <c r="O50" s="17">
        <f>MIN(1.25,J50+15%)</f>
        <v/>
      </c>
      <c r="P50" s="17">
        <f>J50</f>
        <v/>
      </c>
      <c r="Q50" s="17">
        <f>MIN(1.25,O50*P50/90%)</f>
        <v/>
      </c>
    </row>
    <row r="51">
      <c r="A51" s="13" t="n">
        <v>46</v>
      </c>
      <c r="B51" s="14" t="inlineStr">
        <is>
          <t>SAMUEL</t>
        </is>
      </c>
      <c r="C51" s="14" t="inlineStr">
        <is>
          <t>MECHANIC</t>
        </is>
      </c>
      <c r="D51" s="14" t="inlineStr">
        <is>
          <t>TN0235</t>
        </is>
      </c>
      <c r="E51" s="13" t="n">
        <v>26</v>
      </c>
      <c r="F51" s="15">
        <f>E51*8</f>
        <v/>
      </c>
      <c r="G51" s="16" t="n">
        <v>0</v>
      </c>
      <c r="H51" s="15">
        <f>F51+G51</f>
        <v/>
      </c>
      <c r="I51" s="16" t="n">
        <v>158.59</v>
      </c>
      <c r="J51" s="17">
        <f>IFERROR(I51/H51,0)</f>
        <v/>
      </c>
      <c r="K51" s="17">
        <f>MAX(0,1-J51)</f>
        <v/>
      </c>
      <c r="L51" s="18" t="n">
        <v>13504.15</v>
      </c>
      <c r="M51" s="16" t="n">
        <v>158.59</v>
      </c>
      <c r="N51" s="15">
        <f>M51+E51*2</f>
        <v/>
      </c>
      <c r="O51" s="17">
        <f>MIN(1.25,J51+15%)</f>
        <v/>
      </c>
      <c r="P51" s="17">
        <f>J51</f>
        <v/>
      </c>
      <c r="Q51" s="17">
        <f>MIN(1.25,O51*P51/90%)</f>
        <v/>
      </c>
    </row>
    <row r="52">
      <c r="A52" s="13" t="n">
        <v>47</v>
      </c>
      <c r="B52" s="14" t="inlineStr">
        <is>
          <t>BILAL KHAN</t>
        </is>
      </c>
      <c r="C52" s="14" t="inlineStr">
        <is>
          <t>DENTER</t>
        </is>
      </c>
      <c r="D52" s="14" t="inlineStr">
        <is>
          <t>TN0236</t>
        </is>
      </c>
      <c r="E52" s="13" t="n">
        <v>27</v>
      </c>
      <c r="F52" s="15">
        <f>E52*8</f>
        <v/>
      </c>
      <c r="G52" s="16" t="n">
        <v>2</v>
      </c>
      <c r="H52" s="15">
        <f>F52+G52</f>
        <v/>
      </c>
      <c r="I52" s="16" t="n">
        <v>184.98</v>
      </c>
      <c r="J52" s="17">
        <f>IFERROR(I52/H52,0)</f>
        <v/>
      </c>
      <c r="K52" s="17">
        <f>MAX(0,1-J52)</f>
        <v/>
      </c>
      <c r="L52" s="18" t="n">
        <v>15572.4</v>
      </c>
      <c r="M52" s="16" t="n">
        <v>184.98</v>
      </c>
      <c r="N52" s="15">
        <f>M52+E52*2</f>
        <v/>
      </c>
      <c r="O52" s="17">
        <f>MIN(1.25,J52+15%)</f>
        <v/>
      </c>
      <c r="P52" s="17">
        <f>J52</f>
        <v/>
      </c>
      <c r="Q52" s="17">
        <f>MIN(1.25,O52*P52/90%)</f>
        <v/>
      </c>
    </row>
    <row r="53">
      <c r="A53" s="13" t="n">
        <v>48</v>
      </c>
      <c r="B53" s="14" t="inlineStr">
        <is>
          <t>Mohammad Habib Raza</t>
        </is>
      </c>
      <c r="C53" s="14" t="inlineStr">
        <is>
          <t>MECHANIC</t>
        </is>
      </c>
      <c r="D53" s="14" t="inlineStr">
        <is>
          <t>TN0238</t>
        </is>
      </c>
      <c r="E53" s="13" t="n">
        <v>27</v>
      </c>
      <c r="F53" s="15">
        <f>E53*8</f>
        <v/>
      </c>
      <c r="G53" s="16" t="n">
        <v>0</v>
      </c>
      <c r="H53" s="15">
        <f>F53+G53</f>
        <v/>
      </c>
      <c r="I53" s="16" t="n">
        <v>212.77</v>
      </c>
      <c r="J53" s="17">
        <f>IFERROR(I53/H53,0)</f>
        <v/>
      </c>
      <c r="K53" s="17">
        <f>MAX(0,1-J53)</f>
        <v/>
      </c>
      <c r="L53" s="18" t="n">
        <v>18494.32</v>
      </c>
      <c r="M53" s="16" t="n">
        <v>212.77</v>
      </c>
      <c r="N53" s="15">
        <f>M53+E53*2</f>
        <v/>
      </c>
      <c r="O53" s="17">
        <f>MIN(1.25,J53+15%)</f>
        <v/>
      </c>
      <c r="P53" s="17">
        <f>J53</f>
        <v/>
      </c>
      <c r="Q53" s="17">
        <f>MIN(1.25,O53*P53/90%)</f>
        <v/>
      </c>
    </row>
    <row r="54">
      <c r="A54" s="13" t="n">
        <v>49</v>
      </c>
      <c r="B54" s="14" t="inlineStr">
        <is>
          <t>HAMEED ANIYAMPARAMBIL</t>
        </is>
      </c>
      <c r="C54" s="14" t="inlineStr">
        <is>
          <t>MECHANIC</t>
        </is>
      </c>
      <c r="D54" s="14" t="inlineStr">
        <is>
          <t>TN0239</t>
        </is>
      </c>
      <c r="E54" s="13" t="n">
        <v>25</v>
      </c>
      <c r="F54" s="15">
        <f>E54*8</f>
        <v/>
      </c>
      <c r="G54" s="16" t="n">
        <v>0</v>
      </c>
      <c r="H54" s="15">
        <f>F54+G54</f>
        <v/>
      </c>
      <c r="I54" s="16" t="n">
        <v>123.72</v>
      </c>
      <c r="J54" s="17">
        <f>IFERROR(I54/H54,0)</f>
        <v/>
      </c>
      <c r="K54" s="17">
        <f>MAX(0,1-J54)</f>
        <v/>
      </c>
      <c r="L54" s="18" t="n">
        <v>10500.77</v>
      </c>
      <c r="M54" s="16" t="n">
        <v>123.72</v>
      </c>
      <c r="N54" s="15">
        <f>M54+E54*2</f>
        <v/>
      </c>
      <c r="O54" s="17">
        <f>MIN(1.25,J54+15%)</f>
        <v/>
      </c>
      <c r="P54" s="17">
        <f>J54</f>
        <v/>
      </c>
      <c r="Q54" s="17">
        <f>MIN(1.25,O54*P54/90%)</f>
        <v/>
      </c>
    </row>
    <row r="55">
      <c r="A55" s="13" t="n">
        <v>50</v>
      </c>
      <c r="B55" s="14" t="inlineStr">
        <is>
          <t>AMIR HUSSAIN MUHAMMED</t>
        </is>
      </c>
      <c r="C55" s="14" t="inlineStr">
        <is>
          <t>MECHANIC</t>
        </is>
      </c>
      <c r="D55" s="14" t="inlineStr">
        <is>
          <t>TN0241</t>
        </is>
      </c>
      <c r="E55" s="13" t="n">
        <v>27</v>
      </c>
      <c r="F55" s="15">
        <f>E55*8</f>
        <v/>
      </c>
      <c r="G55" s="16" t="n">
        <v>0</v>
      </c>
      <c r="H55" s="15">
        <f>F55+G55</f>
        <v/>
      </c>
      <c r="I55" s="16" t="n">
        <v>203.01</v>
      </c>
      <c r="J55" s="17">
        <f>IFERROR(I55/H55,0)</f>
        <v/>
      </c>
      <c r="K55" s="17">
        <f>MAX(0,1-J55)</f>
        <v/>
      </c>
      <c r="L55" s="18" t="n">
        <v>17538.36</v>
      </c>
      <c r="M55" s="16" t="n">
        <v>203.01</v>
      </c>
      <c r="N55" s="15">
        <f>M55+E55*2</f>
        <v/>
      </c>
      <c r="O55" s="17">
        <f>MIN(1.25,J55+15%)</f>
        <v/>
      </c>
      <c r="P55" s="17">
        <f>J55</f>
        <v/>
      </c>
      <c r="Q55" s="17">
        <f>MIN(1.25,O55*P55/90%)</f>
        <v/>
      </c>
    </row>
    <row r="56">
      <c r="A56" s="13" t="n">
        <v>51</v>
      </c>
      <c r="B56" s="14" t="inlineStr">
        <is>
          <t>LUBAB UDDIN</t>
        </is>
      </c>
      <c r="C56" s="14" t="inlineStr">
        <is>
          <t>DENTER</t>
        </is>
      </c>
      <c r="D56" s="14" t="inlineStr">
        <is>
          <t>TN0242</t>
        </is>
      </c>
      <c r="E56" s="13" t="n">
        <v>22</v>
      </c>
      <c r="F56" s="15">
        <f>E56*8</f>
        <v/>
      </c>
      <c r="G56" s="16" t="n">
        <v>0</v>
      </c>
      <c r="H56" s="15">
        <f>F56+G56</f>
        <v/>
      </c>
      <c r="I56" s="16" t="n">
        <v>120.52</v>
      </c>
      <c r="J56" s="17">
        <f>IFERROR(I56/H56,0)</f>
        <v/>
      </c>
      <c r="K56" s="17">
        <f>MAX(0,1-J56)</f>
        <v/>
      </c>
      <c r="L56" s="18" t="n">
        <v>10328.87</v>
      </c>
      <c r="M56" s="16" t="n">
        <v>120.52</v>
      </c>
      <c r="N56" s="15">
        <f>M56+E56*2</f>
        <v/>
      </c>
      <c r="O56" s="17">
        <f>MIN(1.25,J56+15%)</f>
        <v/>
      </c>
      <c r="P56" s="17">
        <f>J56</f>
        <v/>
      </c>
      <c r="Q56" s="17">
        <f>MIN(1.25,O56*P56/90%)</f>
        <v/>
      </c>
    </row>
    <row r="57">
      <c r="A57" s="13" t="n">
        <v>52</v>
      </c>
      <c r="B57" s="14" t="inlineStr">
        <is>
          <t>MOHAMMED ALI</t>
        </is>
      </c>
      <c r="C57" s="14" t="inlineStr">
        <is>
          <t>DENTER</t>
        </is>
      </c>
      <c r="D57" s="14" t="inlineStr">
        <is>
          <t>TN0244</t>
        </is>
      </c>
      <c r="E57" s="13" t="n">
        <v>27</v>
      </c>
      <c r="F57" s="15">
        <f>E57*8</f>
        <v/>
      </c>
      <c r="G57" s="16" t="n">
        <v>0</v>
      </c>
      <c r="H57" s="15">
        <f>F57+G57</f>
        <v/>
      </c>
      <c r="I57" s="16" t="n">
        <v>158.46</v>
      </c>
      <c r="J57" s="17">
        <f>IFERROR(I57/H57,0)</f>
        <v/>
      </c>
      <c r="K57" s="17">
        <f>MAX(0,1-J57)</f>
        <v/>
      </c>
      <c r="L57" s="18" t="n">
        <v>13410.36</v>
      </c>
      <c r="M57" s="16" t="n">
        <v>158.46</v>
      </c>
      <c r="N57" s="15">
        <f>M57+E57*2</f>
        <v/>
      </c>
      <c r="O57" s="17">
        <f>MIN(1.25,J57+15%)</f>
        <v/>
      </c>
      <c r="P57" s="17">
        <f>J57</f>
        <v/>
      </c>
      <c r="Q57" s="17">
        <f>MIN(1.25,O57*P57/90%)</f>
        <v/>
      </c>
    </row>
    <row r="58">
      <c r="A58" s="13" t="n">
        <v>53</v>
      </c>
      <c r="B58" s="14" t="inlineStr">
        <is>
          <t>MAHMOUD MOHAMED MAHDY</t>
        </is>
      </c>
      <c r="C58" s="14" t="inlineStr">
        <is>
          <t>DENTER</t>
        </is>
      </c>
      <c r="D58" s="14" t="inlineStr">
        <is>
          <t>TN0245</t>
        </is>
      </c>
      <c r="E58" s="13" t="n">
        <v>27</v>
      </c>
      <c r="F58" s="15">
        <f>E58*8</f>
        <v/>
      </c>
      <c r="G58" s="16" t="n">
        <v>0</v>
      </c>
      <c r="H58" s="15">
        <f>F58+G58</f>
        <v/>
      </c>
      <c r="I58" s="16" t="n">
        <v>170.36</v>
      </c>
      <c r="J58" s="17">
        <f>IFERROR(I58/H58,0)</f>
        <v/>
      </c>
      <c r="K58" s="17">
        <f>MAX(0,1-J58)</f>
        <v/>
      </c>
      <c r="L58" s="18" t="n">
        <v>14679.76</v>
      </c>
      <c r="M58" s="16" t="n">
        <v>170.36</v>
      </c>
      <c r="N58" s="15">
        <f>M58+E58*2</f>
        <v/>
      </c>
      <c r="O58" s="17">
        <f>MIN(1.25,J58+15%)</f>
        <v/>
      </c>
      <c r="P58" s="17">
        <f>J58</f>
        <v/>
      </c>
      <c r="Q58" s="17">
        <f>MIN(1.25,O58*P58/90%)</f>
        <v/>
      </c>
    </row>
    <row r="59">
      <c r="A59" s="13" t="n">
        <v>54</v>
      </c>
      <c r="B59" s="14" t="inlineStr">
        <is>
          <t>DIN DAYAL</t>
        </is>
      </c>
      <c r="C59" s="14" t="inlineStr">
        <is>
          <t>ELECTRICIAN</t>
        </is>
      </c>
      <c r="D59" s="14" t="inlineStr">
        <is>
          <t>TN0247</t>
        </is>
      </c>
      <c r="E59" s="13" t="n">
        <v>26</v>
      </c>
      <c r="F59" s="15">
        <f>E59*8</f>
        <v/>
      </c>
      <c r="G59" s="16" t="n">
        <v>4</v>
      </c>
      <c r="H59" s="15">
        <f>F59+G59</f>
        <v/>
      </c>
      <c r="I59" s="16" t="n">
        <v>100.34</v>
      </c>
      <c r="J59" s="17">
        <f>IFERROR(I59/H59,0)</f>
        <v/>
      </c>
      <c r="K59" s="17">
        <f>MAX(0,1-J59)</f>
        <v/>
      </c>
      <c r="L59" s="18" t="n">
        <v>8330.08</v>
      </c>
      <c r="M59" s="16" t="n">
        <v>100.34</v>
      </c>
      <c r="N59" s="15">
        <f>M59+E59*2</f>
        <v/>
      </c>
      <c r="O59" s="17">
        <f>MIN(1.25,J59+15%)</f>
        <v/>
      </c>
      <c r="P59" s="17">
        <f>J59</f>
        <v/>
      </c>
      <c r="Q59" s="17">
        <f>MIN(1.25,O59*P59/90%)</f>
        <v/>
      </c>
    </row>
    <row r="60">
      <c r="A60" s="13" t="n">
        <v>55</v>
      </c>
      <c r="B60" s="14" t="inlineStr">
        <is>
          <t>KAMAL HUSSAIN</t>
        </is>
      </c>
      <c r="C60" s="14" t="inlineStr">
        <is>
          <t>MECHANIC</t>
        </is>
      </c>
      <c r="D60" s="14" t="inlineStr">
        <is>
          <t>TN0248</t>
        </is>
      </c>
      <c r="E60" s="13" t="n">
        <v>26</v>
      </c>
      <c r="F60" s="15">
        <f>E60*8</f>
        <v/>
      </c>
      <c r="G60" s="16" t="n">
        <v>4</v>
      </c>
      <c r="H60" s="15">
        <f>F60+G60</f>
        <v/>
      </c>
      <c r="I60" s="16" t="n">
        <v>184.16</v>
      </c>
      <c r="J60" s="17">
        <f>IFERROR(I60/H60,0)</f>
        <v/>
      </c>
      <c r="K60" s="17">
        <f>MAX(0,1-J60)</f>
        <v/>
      </c>
      <c r="L60" s="18" t="n">
        <v>15687.25</v>
      </c>
      <c r="M60" s="16" t="n">
        <v>184.16</v>
      </c>
      <c r="N60" s="15">
        <f>M60+E60*2</f>
        <v/>
      </c>
      <c r="O60" s="17">
        <f>MIN(1.25,J60+15%)</f>
        <v/>
      </c>
      <c r="P60" s="17">
        <f>J60</f>
        <v/>
      </c>
      <c r="Q60" s="17">
        <f>MIN(1.25,O60*P60/90%)</f>
        <v/>
      </c>
    </row>
    <row r="61">
      <c r="A61" s="13" t="n">
        <v>56</v>
      </c>
      <c r="B61" s="14" t="inlineStr">
        <is>
          <t>RAIS MUHAMMAD KHAN YAR</t>
        </is>
      </c>
      <c r="C61" s="14" t="inlineStr">
        <is>
          <t>PAINTER</t>
        </is>
      </c>
      <c r="D61" s="14" t="inlineStr">
        <is>
          <t>TN0250</t>
        </is>
      </c>
      <c r="E61" s="13" t="n">
        <v>12</v>
      </c>
      <c r="F61" s="15">
        <f>E61*8</f>
        <v/>
      </c>
      <c r="G61" s="16" t="n">
        <v>0</v>
      </c>
      <c r="H61" s="15">
        <f>F61+G61</f>
        <v/>
      </c>
      <c r="I61" s="16" t="n">
        <v>64.38</v>
      </c>
      <c r="J61" s="17">
        <f>IFERROR(I61/H61,0)</f>
        <v/>
      </c>
      <c r="K61" s="17">
        <f>MAX(0,1-J61)</f>
        <v/>
      </c>
      <c r="L61" s="18" t="n">
        <v>5543.37</v>
      </c>
      <c r="M61" s="16" t="n">
        <v>64.38</v>
      </c>
      <c r="N61" s="15">
        <f>M61+E61*2</f>
        <v/>
      </c>
      <c r="O61" s="17">
        <f>MIN(1.25,J61+15%)</f>
        <v/>
      </c>
      <c r="P61" s="17">
        <f>J61</f>
        <v/>
      </c>
      <c r="Q61" s="17">
        <f>MIN(1.25,O61*P61/90%)</f>
        <v/>
      </c>
    </row>
    <row r="62">
      <c r="A62" s="13" t="n">
        <v>57</v>
      </c>
      <c r="B62" s="14" t="inlineStr">
        <is>
          <t>RAJEEVAN</t>
        </is>
      </c>
      <c r="C62" s="14" t="inlineStr">
        <is>
          <t>PAINTER</t>
        </is>
      </c>
      <c r="D62" s="14" t="inlineStr">
        <is>
          <t>TN0251</t>
        </is>
      </c>
      <c r="E62" s="13" t="n">
        <v>27</v>
      </c>
      <c r="F62" s="15">
        <f>E62*8</f>
        <v/>
      </c>
      <c r="G62" s="16" t="n">
        <v>2</v>
      </c>
      <c r="H62" s="15">
        <f>F62+G62</f>
        <v/>
      </c>
      <c r="I62" s="16" t="n">
        <v>196.27</v>
      </c>
      <c r="J62" s="17">
        <f>IFERROR(I62/H62,0)</f>
        <v/>
      </c>
      <c r="K62" s="17">
        <f>MAX(0,1-J62)</f>
        <v/>
      </c>
      <c r="L62" s="18" t="n">
        <v>16516.96</v>
      </c>
      <c r="M62" s="16" t="n">
        <v>196.27</v>
      </c>
      <c r="N62" s="15">
        <f>M62+E62*2</f>
        <v/>
      </c>
      <c r="O62" s="17">
        <f>MIN(1.25,J62+15%)</f>
        <v/>
      </c>
      <c r="P62" s="17">
        <f>J62</f>
        <v/>
      </c>
      <c r="Q62" s="17">
        <f>MIN(1.25,O62*P62/90%)</f>
        <v/>
      </c>
    </row>
    <row r="63">
      <c r="A63" s="13" t="n">
        <v>58</v>
      </c>
      <c r="B63" s="14" t="inlineStr">
        <is>
          <t>MOHAMMED NISAR BHURE</t>
        </is>
      </c>
      <c r="C63" s="14" t="inlineStr">
        <is>
          <t>MECHANIC</t>
        </is>
      </c>
      <c r="D63" s="14" t="inlineStr">
        <is>
          <t>TN0252</t>
        </is>
      </c>
      <c r="E63" s="13" t="n">
        <v>23</v>
      </c>
      <c r="F63" s="15">
        <f>E63*8</f>
        <v/>
      </c>
      <c r="G63" s="16" t="n">
        <v>2</v>
      </c>
      <c r="H63" s="15">
        <f>F63+G63</f>
        <v/>
      </c>
      <c r="I63" s="16" t="n">
        <v>108.44</v>
      </c>
      <c r="J63" s="17">
        <f>IFERROR(I63/H63,0)</f>
        <v/>
      </c>
      <c r="K63" s="17">
        <f>MAX(0,1-J63)</f>
        <v/>
      </c>
      <c r="L63" s="18" t="n">
        <v>9092.780000000001</v>
      </c>
      <c r="M63" s="16" t="n">
        <v>108.44</v>
      </c>
      <c r="N63" s="15">
        <f>M63+E63*2</f>
        <v/>
      </c>
      <c r="O63" s="17">
        <f>MIN(1.25,J63+15%)</f>
        <v/>
      </c>
      <c r="P63" s="17">
        <f>J63</f>
        <v/>
      </c>
      <c r="Q63" s="17">
        <f>MIN(1.25,O63*P63/90%)</f>
        <v/>
      </c>
    </row>
    <row r="64">
      <c r="A64" s="13" t="n">
        <v>59</v>
      </c>
      <c r="B64" s="14" t="inlineStr">
        <is>
          <t>MOHAMMED NISAR BHURE</t>
        </is>
      </c>
      <c r="C64" s="14" t="inlineStr">
        <is>
          <t>MECHANIC</t>
        </is>
      </c>
      <c r="D64" s="14" t="inlineStr">
        <is>
          <t>TN0252</t>
        </is>
      </c>
      <c r="E64" s="13" t="n">
        <v>4</v>
      </c>
      <c r="F64" s="15">
        <f>E64*8</f>
        <v/>
      </c>
      <c r="G64" s="16" t="n">
        <v>0</v>
      </c>
      <c r="H64" s="15">
        <f>F64+G64</f>
        <v/>
      </c>
      <c r="I64" s="16" t="n">
        <v>20.27</v>
      </c>
      <c r="J64" s="17">
        <f>IFERROR(I64/H64,0)</f>
        <v/>
      </c>
      <c r="K64" s="17">
        <f>MAX(0,1-J64)</f>
        <v/>
      </c>
      <c r="L64" s="18" t="n">
        <v>1748.39</v>
      </c>
      <c r="M64" s="16" t="n">
        <v>20.27</v>
      </c>
      <c r="N64" s="15">
        <f>M64+E64*2</f>
        <v/>
      </c>
      <c r="O64" s="17">
        <f>MIN(1.25,J64+15%)</f>
        <v/>
      </c>
      <c r="P64" s="17">
        <f>J64</f>
        <v/>
      </c>
      <c r="Q64" s="17">
        <f>MIN(1.25,O64*P64/90%)</f>
        <v/>
      </c>
    </row>
    <row r="65">
      <c r="A65" s="13" t="n">
        <v>60</v>
      </c>
      <c r="B65" s="14" t="inlineStr">
        <is>
          <t>VINODKUMAR KIZHAKKEPURA</t>
        </is>
      </c>
      <c r="C65" s="14" t="inlineStr">
        <is>
          <t>MECHANIC</t>
        </is>
      </c>
      <c r="D65" s="14" t="inlineStr">
        <is>
          <t>TN0253</t>
        </is>
      </c>
      <c r="E65" s="13" t="n">
        <v>19</v>
      </c>
      <c r="F65" s="15">
        <f>E65*8</f>
        <v/>
      </c>
      <c r="G65" s="16" t="n">
        <v>2</v>
      </c>
      <c r="H65" s="15">
        <f>F65+G65</f>
        <v/>
      </c>
      <c r="I65" s="16" t="n">
        <v>82.7</v>
      </c>
      <c r="J65" s="17">
        <f>IFERROR(I65/H65,0)</f>
        <v/>
      </c>
      <c r="K65" s="17">
        <f>MAX(0,1-J65)</f>
        <v/>
      </c>
      <c r="L65" s="18" t="n">
        <v>7161.72</v>
      </c>
      <c r="M65" s="16" t="n">
        <v>82.7</v>
      </c>
      <c r="N65" s="15">
        <f>M65+E65*2</f>
        <v/>
      </c>
      <c r="O65" s="17">
        <f>MIN(1.25,J65+15%)</f>
        <v/>
      </c>
      <c r="P65" s="17">
        <f>J65</f>
        <v/>
      </c>
      <c r="Q65" s="17">
        <f>MIN(1.25,O65*P65/90%)</f>
        <v/>
      </c>
    </row>
    <row r="66">
      <c r="A66" s="13" t="n">
        <v>61</v>
      </c>
      <c r="B66" s="14" t="inlineStr">
        <is>
          <t>ABU BAKAR SIDDIQ TAJ MUHA</t>
        </is>
      </c>
      <c r="C66" s="14" t="inlineStr">
        <is>
          <t>PAINTER</t>
        </is>
      </c>
      <c r="D66" s="14" t="inlineStr">
        <is>
          <t>TN0254</t>
        </is>
      </c>
      <c r="E66" s="13" t="n">
        <v>20</v>
      </c>
      <c r="F66" s="15">
        <f>E66*8</f>
        <v/>
      </c>
      <c r="G66" s="16" t="n">
        <v>1</v>
      </c>
      <c r="H66" s="15">
        <f>F66+G66</f>
        <v/>
      </c>
      <c r="I66" s="16" t="n">
        <v>104.7</v>
      </c>
      <c r="J66" s="17">
        <f>IFERROR(I66/H66,0)</f>
        <v/>
      </c>
      <c r="K66" s="17">
        <f>MAX(0,1-J66)</f>
        <v/>
      </c>
      <c r="L66" s="18" t="n">
        <v>8688.32</v>
      </c>
      <c r="M66" s="16" t="n">
        <v>104.7</v>
      </c>
      <c r="N66" s="15">
        <f>M66+E66*2</f>
        <v/>
      </c>
      <c r="O66" s="17">
        <f>MIN(1.25,J66+15%)</f>
        <v/>
      </c>
      <c r="P66" s="17">
        <f>J66</f>
        <v/>
      </c>
      <c r="Q66" s="17">
        <f>MIN(1.25,O66*P66/90%)</f>
        <v/>
      </c>
    </row>
    <row r="67">
      <c r="A67" s="13" t="n">
        <v>62</v>
      </c>
      <c r="B67" s="14" t="inlineStr">
        <is>
          <t>ABU BAKAR SIDDIQ TAJ MUHA</t>
        </is>
      </c>
      <c r="C67" s="14" t="inlineStr">
        <is>
          <t>PAINTER</t>
        </is>
      </c>
      <c r="D67" s="14" t="inlineStr">
        <is>
          <t>TN0254</t>
        </is>
      </c>
      <c r="E67" s="13" t="n">
        <v>4</v>
      </c>
      <c r="F67" s="15">
        <f>E67*8</f>
        <v/>
      </c>
      <c r="G67" s="16" t="n">
        <v>0</v>
      </c>
      <c r="H67" s="15">
        <f>F67+G67</f>
        <v/>
      </c>
      <c r="I67" s="16" t="n">
        <v>16.79</v>
      </c>
      <c r="J67" s="17">
        <f>IFERROR(I67/H67,0)</f>
        <v/>
      </c>
      <c r="K67" s="17">
        <f>MAX(0,1-J67)</f>
        <v/>
      </c>
      <c r="L67" s="18" t="n">
        <v>1453.36</v>
      </c>
      <c r="M67" s="16" t="n">
        <v>16.79</v>
      </c>
      <c r="N67" s="15">
        <f>M67+E67*2</f>
        <v/>
      </c>
      <c r="O67" s="17">
        <f>MIN(1.25,J67+15%)</f>
        <v/>
      </c>
      <c r="P67" s="17">
        <f>J67</f>
        <v/>
      </c>
      <c r="Q67" s="17">
        <f>MIN(1.25,O67*P67/90%)</f>
        <v/>
      </c>
    </row>
    <row r="68">
      <c r="A68" s="13" t="n">
        <v>63</v>
      </c>
      <c r="B68" s="14" t="inlineStr">
        <is>
          <t>SAMUEL OFORI</t>
        </is>
      </c>
      <c r="C68" s="14" t="inlineStr">
        <is>
          <t>MECHANIC</t>
        </is>
      </c>
      <c r="D68" s="14" t="inlineStr">
        <is>
          <t>TN0256</t>
        </is>
      </c>
      <c r="E68" s="13" t="n">
        <v>27</v>
      </c>
      <c r="F68" s="15">
        <f>E68*8</f>
        <v/>
      </c>
      <c r="G68" s="16" t="n">
        <v>0</v>
      </c>
      <c r="H68" s="15">
        <f>F68+G68</f>
        <v/>
      </c>
      <c r="I68" s="16" t="n">
        <v>155.34</v>
      </c>
      <c r="J68" s="17">
        <f>IFERROR(I68/H68,0)</f>
        <v/>
      </c>
      <c r="K68" s="17">
        <f>MAX(0,1-J68)</f>
        <v/>
      </c>
      <c r="L68" s="18" t="n">
        <v>12938.25</v>
      </c>
      <c r="M68" s="16" t="n">
        <v>155.34</v>
      </c>
      <c r="N68" s="15">
        <f>M68+E68*2</f>
        <v/>
      </c>
      <c r="O68" s="17">
        <f>MIN(1.25,J68+15%)</f>
        <v/>
      </c>
      <c r="P68" s="17">
        <f>J68</f>
        <v/>
      </c>
      <c r="Q68" s="17">
        <f>MIN(1.25,O68*P68/90%)</f>
        <v/>
      </c>
    </row>
    <row r="69">
      <c r="A69" s="13" t="n">
        <v>64</v>
      </c>
      <c r="B69" s="14" t="inlineStr">
        <is>
          <t>SHAJADA ALI SHAIKH</t>
        </is>
      </c>
      <c r="C69" s="14" t="inlineStr">
        <is>
          <t>MECHANIC</t>
        </is>
      </c>
      <c r="D69" s="14" t="inlineStr">
        <is>
          <t>TN0257</t>
        </is>
      </c>
      <c r="E69" s="13" t="n">
        <v>27</v>
      </c>
      <c r="F69" s="15">
        <f>E69*8</f>
        <v/>
      </c>
      <c r="G69" s="16" t="n">
        <v>0</v>
      </c>
      <c r="H69" s="15">
        <f>F69+G69</f>
        <v/>
      </c>
      <c r="I69" s="16" t="n">
        <v>197.18</v>
      </c>
      <c r="J69" s="17">
        <f>IFERROR(I69/H69,0)</f>
        <v/>
      </c>
      <c r="K69" s="17">
        <f>MAX(0,1-J69)</f>
        <v/>
      </c>
      <c r="L69" s="18" t="n">
        <v>16619.98</v>
      </c>
      <c r="M69" s="16" t="n">
        <v>197.18</v>
      </c>
      <c r="N69" s="15">
        <f>M69+E69*2</f>
        <v/>
      </c>
      <c r="O69" s="17">
        <f>MIN(1.25,J69+15%)</f>
        <v/>
      </c>
      <c r="P69" s="17">
        <f>J69</f>
        <v/>
      </c>
      <c r="Q69" s="17">
        <f>MIN(1.25,O69*P69/90%)</f>
        <v/>
      </c>
    </row>
    <row r="70">
      <c r="A70" s="13" t="n">
        <v>65</v>
      </c>
      <c r="B70" s="14" t="inlineStr">
        <is>
          <t>ABDULLAH NABEEL BUTT MAN</t>
        </is>
      </c>
      <c r="C70" s="14" t="inlineStr">
        <is>
          <t>ELECTRICIAN</t>
        </is>
      </c>
      <c r="D70" s="14" t="inlineStr">
        <is>
          <t>TN0258</t>
        </is>
      </c>
      <c r="E70" s="13" t="n">
        <v>26</v>
      </c>
      <c r="F70" s="15">
        <f>E70*8</f>
        <v/>
      </c>
      <c r="G70" s="16" t="n">
        <v>0</v>
      </c>
      <c r="H70" s="15">
        <f>F70+G70</f>
        <v/>
      </c>
      <c r="I70" s="16" t="n">
        <v>104.38</v>
      </c>
      <c r="J70" s="17">
        <f>IFERROR(I70/H70,0)</f>
        <v/>
      </c>
      <c r="K70" s="17">
        <f>MAX(0,1-J70)</f>
        <v/>
      </c>
      <c r="L70" s="18" t="n">
        <v>8726.959999999999</v>
      </c>
      <c r="M70" s="16" t="n">
        <v>104.38</v>
      </c>
      <c r="N70" s="15">
        <f>M70+E70*2</f>
        <v/>
      </c>
      <c r="O70" s="17">
        <f>MIN(1.25,J70+15%)</f>
        <v/>
      </c>
      <c r="P70" s="17">
        <f>J70</f>
        <v/>
      </c>
      <c r="Q70" s="17">
        <f>MIN(1.25,O70*P70/90%)</f>
        <v/>
      </c>
    </row>
    <row r="71">
      <c r="A71" s="13" t="n">
        <v>66</v>
      </c>
      <c r="B71" s="14" t="inlineStr">
        <is>
          <t>MOHAMMED AWAIS ASGHAR</t>
        </is>
      </c>
      <c r="C71" s="14" t="inlineStr">
        <is>
          <t>ELECTRICIAN</t>
        </is>
      </c>
      <c r="D71" s="14" t="inlineStr">
        <is>
          <t>TN0259</t>
        </is>
      </c>
      <c r="E71" s="13" t="n">
        <v>27</v>
      </c>
      <c r="F71" s="15">
        <f>E71*8</f>
        <v/>
      </c>
      <c r="G71" s="16" t="n">
        <v>0</v>
      </c>
      <c r="H71" s="15">
        <f>F71+G71</f>
        <v/>
      </c>
      <c r="I71" s="16" t="n">
        <v>162.94</v>
      </c>
      <c r="J71" s="17">
        <f>IFERROR(I71/H71,0)</f>
        <v/>
      </c>
      <c r="K71" s="17">
        <f>MAX(0,1-J71)</f>
        <v/>
      </c>
      <c r="L71" s="18" t="n">
        <v>14172.04</v>
      </c>
      <c r="M71" s="16" t="n">
        <v>162.94</v>
      </c>
      <c r="N71" s="15">
        <f>M71+E71*2</f>
        <v/>
      </c>
      <c r="O71" s="17">
        <f>MIN(1.25,J71+15%)</f>
        <v/>
      </c>
      <c r="P71" s="17">
        <f>J71</f>
        <v/>
      </c>
      <c r="Q71" s="17">
        <f>MIN(1.25,O71*P71/90%)</f>
        <v/>
      </c>
    </row>
    <row r="72">
      <c r="A72" s="13" t="n">
        <v>67</v>
      </c>
      <c r="B72" s="14" t="inlineStr">
        <is>
          <t>ANIS ALI MIR MIR IBRAB ALI</t>
        </is>
      </c>
      <c r="C72" s="14" t="inlineStr">
        <is>
          <t>MECHANIC</t>
        </is>
      </c>
      <c r="D72" s="14" t="inlineStr">
        <is>
          <t>TN0261</t>
        </is>
      </c>
      <c r="E72" s="13" t="n">
        <v>27</v>
      </c>
      <c r="F72" s="15">
        <f>E72*8</f>
        <v/>
      </c>
      <c r="G72" s="16" t="n">
        <v>0</v>
      </c>
      <c r="H72" s="15">
        <f>F72+G72</f>
        <v/>
      </c>
      <c r="I72" s="16" t="n">
        <v>158.64</v>
      </c>
      <c r="J72" s="17">
        <f>IFERROR(I72/H72,0)</f>
        <v/>
      </c>
      <c r="K72" s="17">
        <f>MAX(0,1-J72)</f>
        <v/>
      </c>
      <c r="L72" s="18" t="n">
        <v>13567.9</v>
      </c>
      <c r="M72" s="16" t="n">
        <v>158.64</v>
      </c>
      <c r="N72" s="15">
        <f>M72+E72*2</f>
        <v/>
      </c>
      <c r="O72" s="17">
        <f>MIN(1.25,J72+15%)</f>
        <v/>
      </c>
      <c r="P72" s="17">
        <f>J72</f>
        <v/>
      </c>
      <c r="Q72" s="17">
        <f>MIN(1.25,O72*P72/90%)</f>
        <v/>
      </c>
    </row>
    <row r="73">
      <c r="A73" s="13" t="n">
        <v>68</v>
      </c>
      <c r="B73" s="14" t="inlineStr">
        <is>
          <t>SABIR ALI MUHAMMAD ALI</t>
        </is>
      </c>
      <c r="C73" s="14" t="inlineStr">
        <is>
          <t>PAINTER</t>
        </is>
      </c>
      <c r="D73" s="14" t="inlineStr">
        <is>
          <t>TN0265</t>
        </is>
      </c>
      <c r="E73" s="13" t="n">
        <v>27</v>
      </c>
      <c r="F73" s="15">
        <f>E73*8</f>
        <v/>
      </c>
      <c r="G73" s="16" t="n">
        <v>0</v>
      </c>
      <c r="H73" s="15">
        <f>F73+G73</f>
        <v/>
      </c>
      <c r="I73" s="16" t="n">
        <v>168.22</v>
      </c>
      <c r="J73" s="17">
        <f>IFERROR(I73/H73,0)</f>
        <v/>
      </c>
      <c r="K73" s="17">
        <f>MAX(0,1-J73)</f>
        <v/>
      </c>
      <c r="L73" s="18" t="n">
        <v>14233.56</v>
      </c>
      <c r="M73" s="16" t="n">
        <v>168.22</v>
      </c>
      <c r="N73" s="15">
        <f>M73+E73*2</f>
        <v/>
      </c>
      <c r="O73" s="17">
        <f>MIN(1.25,J73+15%)</f>
        <v/>
      </c>
      <c r="P73" s="17">
        <f>J73</f>
        <v/>
      </c>
      <c r="Q73" s="17">
        <f>MIN(1.25,O73*P73/90%)</f>
        <v/>
      </c>
    </row>
    <row r="74">
      <c r="A74" s="13" t="n">
        <v>69</v>
      </c>
      <c r="B74" s="14" t="inlineStr">
        <is>
          <t>ARISTOTE TSOPKENG LEWEPO</t>
        </is>
      </c>
      <c r="C74" s="14" t="inlineStr">
        <is>
          <t>MECHANIC</t>
        </is>
      </c>
      <c r="D74" s="14" t="inlineStr">
        <is>
          <t>TN0266</t>
        </is>
      </c>
      <c r="E74" s="13" t="n">
        <v>25</v>
      </c>
      <c r="F74" s="15">
        <f>E74*8</f>
        <v/>
      </c>
      <c r="G74" s="16" t="n">
        <v>0</v>
      </c>
      <c r="H74" s="15">
        <f>F74+G74</f>
        <v/>
      </c>
      <c r="I74" s="16" t="n">
        <v>151.31</v>
      </c>
      <c r="J74" s="17">
        <f>IFERROR(I74/H74,0)</f>
        <v/>
      </c>
      <c r="K74" s="17">
        <f>MAX(0,1-J74)</f>
        <v/>
      </c>
      <c r="L74" s="18" t="n">
        <v>12681.86</v>
      </c>
      <c r="M74" s="16" t="n">
        <v>151.31</v>
      </c>
      <c r="N74" s="15">
        <f>M74+E74*2</f>
        <v/>
      </c>
      <c r="O74" s="17">
        <f>MIN(1.25,J74+15%)</f>
        <v/>
      </c>
      <c r="P74" s="17">
        <f>J74</f>
        <v/>
      </c>
      <c r="Q74" s="17">
        <f>MIN(1.25,O74*P74/90%)</f>
        <v/>
      </c>
    </row>
    <row r="75">
      <c r="A75" s="13" t="n">
        <v>70</v>
      </c>
      <c r="B75" s="14" t="inlineStr">
        <is>
          <t>ALAM ZEB KHAN</t>
        </is>
      </c>
      <c r="C75" s="14" t="inlineStr">
        <is>
          <t>MECHANIC</t>
        </is>
      </c>
      <c r="D75" s="14" t="inlineStr">
        <is>
          <t>TN0268</t>
        </is>
      </c>
      <c r="E75" s="13" t="n">
        <v>27</v>
      </c>
      <c r="F75" s="15">
        <f>E75*8</f>
        <v/>
      </c>
      <c r="G75" s="16" t="n">
        <v>1</v>
      </c>
      <c r="H75" s="15">
        <f>F75+G75</f>
        <v/>
      </c>
      <c r="I75" s="16" t="n">
        <v>115.72</v>
      </c>
      <c r="J75" s="17">
        <f>IFERROR(I75/H75,0)</f>
        <v/>
      </c>
      <c r="K75" s="17">
        <f>MAX(0,1-J75)</f>
        <v/>
      </c>
      <c r="L75" s="18" t="n">
        <v>10060.55</v>
      </c>
      <c r="M75" s="16" t="n">
        <v>115.72</v>
      </c>
      <c r="N75" s="15">
        <f>M75+E75*2</f>
        <v/>
      </c>
      <c r="O75" s="17">
        <f>MIN(1.25,J75+15%)</f>
        <v/>
      </c>
      <c r="P75" s="17">
        <f>J75</f>
        <v/>
      </c>
      <c r="Q75" s="17">
        <f>MIN(1.25,O75*P75/90%)</f>
        <v/>
      </c>
    </row>
    <row r="76">
      <c r="A76" s="13" t="n">
        <v>71</v>
      </c>
      <c r="B76" s="14" t="inlineStr">
        <is>
          <t>Abdulla shekh</t>
        </is>
      </c>
      <c r="C76" s="14" t="inlineStr">
        <is>
          <t>PAINTER</t>
        </is>
      </c>
      <c r="D76" s="14" t="inlineStr">
        <is>
          <t>TN0269</t>
        </is>
      </c>
      <c r="E76" s="13" t="n">
        <v>25</v>
      </c>
      <c r="F76" s="15">
        <f>E76*8</f>
        <v/>
      </c>
      <c r="G76" s="16" t="n">
        <v>0</v>
      </c>
      <c r="H76" s="15">
        <f>F76+G76</f>
        <v/>
      </c>
      <c r="I76" s="16" t="n">
        <v>172.23</v>
      </c>
      <c r="J76" s="17">
        <f>IFERROR(I76/H76,0)</f>
        <v/>
      </c>
      <c r="K76" s="17">
        <f>MAX(0,1-J76)</f>
        <v/>
      </c>
      <c r="L76" s="18" t="n">
        <v>14696.86</v>
      </c>
      <c r="M76" s="16" t="n">
        <v>172.23</v>
      </c>
      <c r="N76" s="15">
        <f>M76+E76*2</f>
        <v/>
      </c>
      <c r="O76" s="17">
        <f>MIN(1.25,J76+15%)</f>
        <v/>
      </c>
      <c r="P76" s="17">
        <f>J76</f>
        <v/>
      </c>
      <c r="Q76" s="17">
        <f>MIN(1.25,O76*P76/90%)</f>
        <v/>
      </c>
    </row>
    <row r="77">
      <c r="A77" s="13" t="n">
        <v>72</v>
      </c>
      <c r="B77" s="14" t="inlineStr">
        <is>
          <t>Abdel Rahman</t>
        </is>
      </c>
      <c r="C77" s="14" t="inlineStr">
        <is>
          <t>PAINTER</t>
        </is>
      </c>
      <c r="D77" s="14" t="inlineStr">
        <is>
          <t>TN0270</t>
        </is>
      </c>
      <c r="E77" s="13" t="n">
        <v>25</v>
      </c>
      <c r="F77" s="15">
        <f>E77*8</f>
        <v/>
      </c>
      <c r="G77" s="16" t="n">
        <v>0</v>
      </c>
      <c r="H77" s="15">
        <f>F77+G77</f>
        <v/>
      </c>
      <c r="I77" s="16" t="n">
        <v>160.91</v>
      </c>
      <c r="J77" s="17">
        <f>IFERROR(I77/H77,0)</f>
        <v/>
      </c>
      <c r="K77" s="17">
        <f>MAX(0,1-J77)</f>
        <v/>
      </c>
      <c r="L77" s="18" t="n">
        <v>13918.87</v>
      </c>
      <c r="M77" s="16" t="n">
        <v>160.91</v>
      </c>
      <c r="N77" s="15">
        <f>M77+E77*2</f>
        <v/>
      </c>
      <c r="O77" s="17">
        <f>MIN(1.25,J77+15%)</f>
        <v/>
      </c>
      <c r="P77" s="17">
        <f>J77</f>
        <v/>
      </c>
      <c r="Q77" s="17">
        <f>MIN(1.25,O77*P77/90%)</f>
        <v/>
      </c>
    </row>
    <row r="78">
      <c r="A78" s="13" t="n">
        <v>73</v>
      </c>
      <c r="B78" s="14" t="inlineStr">
        <is>
          <t>RENJITH RADHAKRISHNAN NA</t>
        </is>
      </c>
      <c r="C78" s="14" t="inlineStr">
        <is>
          <t>PAINTER</t>
        </is>
      </c>
      <c r="D78" s="14" t="inlineStr">
        <is>
          <t>TN0272</t>
        </is>
      </c>
      <c r="E78" s="13" t="n">
        <v>11</v>
      </c>
      <c r="F78" s="15">
        <f>E78*8</f>
        <v/>
      </c>
      <c r="G78" s="16" t="n">
        <v>0</v>
      </c>
      <c r="H78" s="15">
        <f>F78+G78</f>
        <v/>
      </c>
      <c r="I78" s="16" t="n">
        <v>64.45</v>
      </c>
      <c r="J78" s="17">
        <f>IFERROR(I78/H78,0)</f>
        <v/>
      </c>
      <c r="K78" s="17">
        <f>MAX(0,1-J78)</f>
        <v/>
      </c>
      <c r="L78" s="18" t="n">
        <v>5520.83</v>
      </c>
      <c r="M78" s="16" t="n">
        <v>64.45</v>
      </c>
      <c r="N78" s="15">
        <f>M78+E78*2</f>
        <v/>
      </c>
      <c r="O78" s="17">
        <f>MIN(1.25,J78+15%)</f>
        <v/>
      </c>
      <c r="P78" s="17">
        <f>J78</f>
        <v/>
      </c>
      <c r="Q78" s="17">
        <f>MIN(1.25,O78*P78/90%)</f>
        <v/>
      </c>
    </row>
    <row r="79">
      <c r="A79" s="13" t="n">
        <v>74</v>
      </c>
      <c r="B79" s="14" t="inlineStr">
        <is>
          <t>RENJITH RADHAKRISHNAN NA</t>
        </is>
      </c>
      <c r="C79" s="14" t="inlineStr">
        <is>
          <t>PAINTER</t>
        </is>
      </c>
      <c r="D79" s="14" t="inlineStr">
        <is>
          <t>TN0272</t>
        </is>
      </c>
      <c r="E79" s="13" t="n">
        <v>8</v>
      </c>
      <c r="F79" s="15">
        <f>E79*8</f>
        <v/>
      </c>
      <c r="G79" s="16" t="n">
        <v>2</v>
      </c>
      <c r="H79" s="15">
        <f>F79+G79</f>
        <v/>
      </c>
      <c r="I79" s="16" t="n">
        <v>49.62</v>
      </c>
      <c r="J79" s="17">
        <f>IFERROR(I79/H79,0)</f>
        <v/>
      </c>
      <c r="K79" s="17">
        <f>MAX(0,1-J79)</f>
        <v/>
      </c>
      <c r="L79" s="18" t="n">
        <v>4320.72</v>
      </c>
      <c r="M79" s="16" t="n">
        <v>49.62</v>
      </c>
      <c r="N79" s="15">
        <f>M79+E79*2</f>
        <v/>
      </c>
      <c r="O79" s="17">
        <f>MIN(1.25,J79+15%)</f>
        <v/>
      </c>
      <c r="P79" s="17">
        <f>J79</f>
        <v/>
      </c>
      <c r="Q79" s="17">
        <f>MIN(1.25,O79*P79/90%)</f>
        <v/>
      </c>
    </row>
    <row r="80">
      <c r="A80" s="13" t="n">
        <v>75</v>
      </c>
      <c r="B80" s="14" t="inlineStr">
        <is>
          <t>AHID SHAIKH SHAIKH</t>
        </is>
      </c>
      <c r="C80" s="14" t="inlineStr">
        <is>
          <t>PAINTER</t>
        </is>
      </c>
      <c r="D80" s="14" t="inlineStr">
        <is>
          <t>TN0273</t>
        </is>
      </c>
      <c r="E80" s="13" t="n">
        <v>25</v>
      </c>
      <c r="F80" s="15">
        <f>E80*8</f>
        <v/>
      </c>
      <c r="G80" s="16" t="n">
        <v>0</v>
      </c>
      <c r="H80" s="15">
        <f>F80+G80</f>
        <v/>
      </c>
      <c r="I80" s="16" t="n">
        <v>139.69</v>
      </c>
      <c r="J80" s="17">
        <f>IFERROR(I80/H80,0)</f>
        <v/>
      </c>
      <c r="K80" s="17">
        <f>MAX(0,1-J80)</f>
        <v/>
      </c>
      <c r="L80" s="18" t="n">
        <v>12034.01</v>
      </c>
      <c r="M80" s="16" t="n">
        <v>139.69</v>
      </c>
      <c r="N80" s="15">
        <f>M80+E80*2</f>
        <v/>
      </c>
      <c r="O80" s="17">
        <f>MIN(1.25,J80+15%)</f>
        <v/>
      </c>
      <c r="P80" s="17">
        <f>J80</f>
        <v/>
      </c>
      <c r="Q80" s="17">
        <f>MIN(1.25,O80*P80/90%)</f>
        <v/>
      </c>
    </row>
    <row r="81">
      <c r="A81" s="13" t="n">
        <v>76</v>
      </c>
      <c r="B81" s="14" t="inlineStr">
        <is>
          <t>IBRAHIM KHAN</t>
        </is>
      </c>
      <c r="C81" s="14" t="inlineStr">
        <is>
          <t>DENTER</t>
        </is>
      </c>
      <c r="D81" s="14" t="inlineStr">
        <is>
          <t>TN0274</t>
        </is>
      </c>
      <c r="E81" s="13" t="n">
        <v>22</v>
      </c>
      <c r="F81" s="15">
        <f>E81*8</f>
        <v/>
      </c>
      <c r="G81" s="16" t="n">
        <v>0</v>
      </c>
      <c r="H81" s="15">
        <f>F81+G81</f>
        <v/>
      </c>
      <c r="I81" s="16" t="n">
        <v>123.32</v>
      </c>
      <c r="J81" s="17">
        <f>IFERROR(I81/H81,0)</f>
        <v/>
      </c>
      <c r="K81" s="17">
        <f>MAX(0,1-J81)</f>
        <v/>
      </c>
      <c r="L81" s="18" t="n">
        <v>10297.79</v>
      </c>
      <c r="M81" s="16" t="n">
        <v>123.32</v>
      </c>
      <c r="N81" s="15">
        <f>M81+E81*2</f>
        <v/>
      </c>
      <c r="O81" s="17">
        <f>MIN(1.25,J81+15%)</f>
        <v/>
      </c>
      <c r="P81" s="17">
        <f>J81</f>
        <v/>
      </c>
      <c r="Q81" s="17">
        <f>MIN(1.25,O81*P81/90%)</f>
        <v/>
      </c>
    </row>
    <row r="82">
      <c r="A82" s="13" t="n">
        <v>77</v>
      </c>
      <c r="B82" s="14" t="inlineStr">
        <is>
          <t>MUHAMMED SUFIAN QURESHI</t>
        </is>
      </c>
      <c r="C82" s="14" t="inlineStr">
        <is>
          <t>DENTER</t>
        </is>
      </c>
      <c r="D82" s="14" t="inlineStr">
        <is>
          <t>TN0275</t>
        </is>
      </c>
      <c r="E82" s="13" t="n">
        <v>27</v>
      </c>
      <c r="F82" s="15">
        <f>E82*8</f>
        <v/>
      </c>
      <c r="G82" s="16" t="n">
        <v>0</v>
      </c>
      <c r="H82" s="15">
        <f>F82+G82</f>
        <v/>
      </c>
      <c r="I82" s="16" t="n">
        <v>157.21</v>
      </c>
      <c r="J82" s="17">
        <f>IFERROR(I82/H82,0)</f>
        <v/>
      </c>
      <c r="K82" s="17">
        <f>MAX(0,1-J82)</f>
        <v/>
      </c>
      <c r="L82" s="18" t="n">
        <v>13069.16</v>
      </c>
      <c r="M82" s="16" t="n">
        <v>157.21</v>
      </c>
      <c r="N82" s="15">
        <f>M82+E82*2</f>
        <v/>
      </c>
      <c r="O82" s="17">
        <f>MIN(1.25,J82+15%)</f>
        <v/>
      </c>
      <c r="P82" s="17">
        <f>J82</f>
        <v/>
      </c>
      <c r="Q82" s="17">
        <f>MIN(1.25,O82*P82/90%)</f>
        <v/>
      </c>
    </row>
    <row r="83">
      <c r="A83" s="13" t="n">
        <v>78</v>
      </c>
      <c r="B83" s="14" t="inlineStr">
        <is>
          <t>RAGHU</t>
        </is>
      </c>
      <c r="C83" s="14" t="inlineStr">
        <is>
          <t>ELECTRICIAN</t>
        </is>
      </c>
      <c r="D83" s="14" t="inlineStr">
        <is>
          <t>TN0276</t>
        </is>
      </c>
      <c r="E83" s="13" t="n">
        <v>27</v>
      </c>
      <c r="F83" s="15">
        <f>E83*8</f>
        <v/>
      </c>
      <c r="G83" s="16" t="n">
        <v>0</v>
      </c>
      <c r="H83" s="15">
        <f>F83+G83</f>
        <v/>
      </c>
      <c r="I83" s="16" t="n">
        <v>154.68</v>
      </c>
      <c r="J83" s="17">
        <f>IFERROR(I83/H83,0)</f>
        <v/>
      </c>
      <c r="K83" s="17">
        <f>MAX(0,1-J83)</f>
        <v/>
      </c>
      <c r="L83" s="18" t="n">
        <v>13164.81</v>
      </c>
      <c r="M83" s="16" t="n">
        <v>154.68</v>
      </c>
      <c r="N83" s="15">
        <f>M83+E83*2</f>
        <v/>
      </c>
      <c r="O83" s="17">
        <f>MIN(1.25,J83+15%)</f>
        <v/>
      </c>
      <c r="P83" s="17">
        <f>J83</f>
        <v/>
      </c>
      <c r="Q83" s="17">
        <f>MIN(1.25,O83*P83/90%)</f>
        <v/>
      </c>
    </row>
    <row r="84">
      <c r="A84" s="13" t="n">
        <v>79</v>
      </c>
      <c r="B84" s="14" t="inlineStr">
        <is>
          <t>MAHAFUJ ALI MOHAMMAD</t>
        </is>
      </c>
      <c r="C84" s="14" t="inlineStr">
        <is>
          <t>PAINTER</t>
        </is>
      </c>
      <c r="D84" s="14" t="inlineStr">
        <is>
          <t>TN0277</t>
        </is>
      </c>
      <c r="E84" s="13" t="n">
        <v>27</v>
      </c>
      <c r="F84" s="15">
        <f>E84*8</f>
        <v/>
      </c>
      <c r="G84" s="16" t="n">
        <v>2</v>
      </c>
      <c r="H84" s="15">
        <f>F84+G84</f>
        <v/>
      </c>
      <c r="I84" s="16" t="n">
        <v>162.02</v>
      </c>
      <c r="J84" s="17">
        <f>IFERROR(I84/H84,0)</f>
        <v/>
      </c>
      <c r="K84" s="17">
        <f>MAX(0,1-J84)</f>
        <v/>
      </c>
      <c r="L84" s="18" t="n">
        <v>13858.25</v>
      </c>
      <c r="M84" s="16" t="n">
        <v>162.02</v>
      </c>
      <c r="N84" s="15">
        <f>M84+E84*2</f>
        <v/>
      </c>
      <c r="O84" s="17">
        <f>MIN(1.25,J84+15%)</f>
        <v/>
      </c>
      <c r="P84" s="17">
        <f>J84</f>
        <v/>
      </c>
      <c r="Q84" s="17">
        <f>MIN(1.25,O84*P84/90%)</f>
        <v/>
      </c>
    </row>
    <row r="85">
      <c r="A85" s="13" t="n">
        <v>80</v>
      </c>
      <c r="B85" s="14" t="inlineStr">
        <is>
          <t>SK MAKSOOD</t>
        </is>
      </c>
      <c r="C85" s="14" t="inlineStr">
        <is>
          <t>PAINTER</t>
        </is>
      </c>
      <c r="D85" s="14" t="inlineStr">
        <is>
          <t>TN0280</t>
        </is>
      </c>
      <c r="E85" s="13" t="n">
        <v>24</v>
      </c>
      <c r="F85" s="15">
        <f>E85*8</f>
        <v/>
      </c>
      <c r="G85" s="16" t="n">
        <v>4</v>
      </c>
      <c r="H85" s="15">
        <f>F85+G85</f>
        <v/>
      </c>
      <c r="I85" s="16" t="n">
        <v>163.86</v>
      </c>
      <c r="J85" s="17">
        <f>IFERROR(I85/H85,0)</f>
        <v/>
      </c>
      <c r="K85" s="17">
        <f>MAX(0,1-J85)</f>
        <v/>
      </c>
      <c r="L85" s="18" t="n">
        <v>13730.75</v>
      </c>
      <c r="M85" s="16" t="n">
        <v>163.86</v>
      </c>
      <c r="N85" s="15">
        <f>M85+E85*2</f>
        <v/>
      </c>
      <c r="O85" s="17">
        <f>MIN(1.25,J85+15%)</f>
        <v/>
      </c>
      <c r="P85" s="17">
        <f>J85</f>
        <v/>
      </c>
      <c r="Q85" s="17">
        <f>MIN(1.25,O85*P85/90%)</f>
        <v/>
      </c>
    </row>
    <row r="86">
      <c r="A86" s="13" t="n">
        <v>81</v>
      </c>
      <c r="B86" s="14" t="inlineStr">
        <is>
          <t>umar sadiq abdur rahman</t>
        </is>
      </c>
      <c r="C86" s="14" t="inlineStr">
        <is>
          <t>DENTER</t>
        </is>
      </c>
      <c r="D86" s="14" t="inlineStr">
        <is>
          <t>TN0281</t>
        </is>
      </c>
      <c r="E86" s="13" t="n">
        <v>27</v>
      </c>
      <c r="F86" s="15">
        <f>E86*8</f>
        <v/>
      </c>
      <c r="G86" s="16" t="n">
        <v>0</v>
      </c>
      <c r="H86" s="15">
        <f>F86+G86</f>
        <v/>
      </c>
      <c r="I86" s="16" t="n">
        <v>201.19</v>
      </c>
      <c r="J86" s="17">
        <f>IFERROR(I86/H86,0)</f>
        <v/>
      </c>
      <c r="K86" s="17">
        <f>MAX(0,1-J86)</f>
        <v/>
      </c>
      <c r="L86" s="18" t="n">
        <v>17078.64</v>
      </c>
      <c r="M86" s="16" t="n">
        <v>201.19</v>
      </c>
      <c r="N86" s="15">
        <f>M86+E86*2</f>
        <v/>
      </c>
      <c r="O86" s="17">
        <f>MIN(1.25,J86+15%)</f>
        <v/>
      </c>
      <c r="P86" s="17">
        <f>J86</f>
        <v/>
      </c>
      <c r="Q86" s="17">
        <f>MIN(1.25,O86*P86/90%)</f>
        <v/>
      </c>
    </row>
    <row r="87">
      <c r="A87" s="13" t="n">
        <v>82</v>
      </c>
      <c r="B87" s="14" t="inlineStr">
        <is>
          <t>DHANESH E. DEVADAS</t>
        </is>
      </c>
      <c r="C87" s="14" t="inlineStr">
        <is>
          <t>MECHANIC</t>
        </is>
      </c>
      <c r="D87" s="14" t="inlineStr">
        <is>
          <t>TN0283</t>
        </is>
      </c>
      <c r="E87" s="13" t="n">
        <v>24</v>
      </c>
      <c r="F87" s="15">
        <f>E87*8</f>
        <v/>
      </c>
      <c r="G87" s="16" t="n">
        <v>1</v>
      </c>
      <c r="H87" s="15">
        <f>F87+G87</f>
        <v/>
      </c>
      <c r="I87" s="16" t="n">
        <v>61.09</v>
      </c>
      <c r="J87" s="17">
        <f>IFERROR(I87/H87,0)</f>
        <v/>
      </c>
      <c r="K87" s="17">
        <f>MAX(0,1-J87)</f>
        <v/>
      </c>
      <c r="L87" s="18" t="n">
        <v>5146.86</v>
      </c>
      <c r="M87" s="16" t="n">
        <v>61.09</v>
      </c>
      <c r="N87" s="15">
        <f>M87+E87*2</f>
        <v/>
      </c>
      <c r="O87" s="17">
        <f>MIN(1.25,J87+15%)</f>
        <v/>
      </c>
      <c r="P87" s="17">
        <f>J87</f>
        <v/>
      </c>
      <c r="Q87" s="17">
        <f>MIN(1.25,O87*P87/90%)</f>
        <v/>
      </c>
    </row>
    <row r="88">
      <c r="A88" s="13" t="n">
        <v>83</v>
      </c>
      <c r="B88" s="14" t="inlineStr">
        <is>
          <t>Emmanuel Koranteng</t>
        </is>
      </c>
      <c r="C88" s="14" t="inlineStr">
        <is>
          <t>ELECTRICIAN</t>
        </is>
      </c>
      <c r="D88" s="14" t="inlineStr">
        <is>
          <t>TN0285</t>
        </is>
      </c>
      <c r="E88" s="13" t="n">
        <v>23</v>
      </c>
      <c r="F88" s="15">
        <f>E88*8</f>
        <v/>
      </c>
      <c r="G88" s="16" t="n">
        <v>0</v>
      </c>
      <c r="H88" s="15">
        <f>F88+G88</f>
        <v/>
      </c>
      <c r="I88" s="16" t="n">
        <v>130.44</v>
      </c>
      <c r="J88" s="17">
        <f>IFERROR(I88/H88,0)</f>
        <v/>
      </c>
      <c r="K88" s="17">
        <f>MAX(0,1-J88)</f>
        <v/>
      </c>
      <c r="L88" s="18" t="n">
        <v>11288.56</v>
      </c>
      <c r="M88" s="16" t="n">
        <v>130.44</v>
      </c>
      <c r="N88" s="15">
        <f>M88+E88*2</f>
        <v/>
      </c>
      <c r="O88" s="17">
        <f>MIN(1.25,J88+15%)</f>
        <v/>
      </c>
      <c r="P88" s="17">
        <f>J88</f>
        <v/>
      </c>
      <c r="Q88" s="17">
        <f>MIN(1.25,O88*P88/90%)</f>
        <v/>
      </c>
    </row>
    <row r="90">
      <c r="A90" s="19" t="n"/>
      <c r="B90" s="20" t="inlineStr">
        <is>
          <t>TOTAL / AVG</t>
        </is>
      </c>
      <c r="C90" s="19" t="n"/>
      <c r="D90" s="19" t="n"/>
      <c r="E90" s="21">
        <f>SUM(E6:E88)</f>
        <v/>
      </c>
      <c r="F90" s="21">
        <f>SUM(F6:F88)</f>
        <v/>
      </c>
      <c r="G90" s="21">
        <f>SUM(G6:G88)</f>
        <v/>
      </c>
      <c r="H90" s="21">
        <f>SUM(H6:H88)</f>
        <v/>
      </c>
      <c r="I90" s="21">
        <f>SUM(I6:I88)</f>
        <v/>
      </c>
      <c r="J90" s="22">
        <f>AVERAGE(J6:J88)</f>
        <v/>
      </c>
      <c r="K90" s="22">
        <f>AVERAGE(K6:K88)</f>
        <v/>
      </c>
      <c r="L90" s="23">
        <f>SUM(L6:L88)</f>
        <v/>
      </c>
      <c r="M90" s="21">
        <f>SUM(M6:M88)</f>
        <v/>
      </c>
      <c r="N90" s="21">
        <f>SUM(N6:N88)</f>
        <v/>
      </c>
      <c r="O90" s="22">
        <f>AVERAGE(O6:O88)</f>
        <v/>
      </c>
      <c r="P90" s="22">
        <f>AVERAGE(P6:P88)</f>
        <v/>
      </c>
      <c r="Q90" s="22">
        <f>AVERAGE(Q6:Q88)</f>
        <v/>
      </c>
    </row>
  </sheetData>
  <autoFilter ref="A5:Q88"/>
  <mergeCells count="3">
    <mergeCell ref="B2:Q2"/>
    <mergeCell ref="I1:M1"/>
    <mergeCell ref="A1:H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1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3" customWidth="1" min="14" max="14"/>
    <col width="9" customWidth="1" min="15" max="15"/>
    <col width="9" customWidth="1" min="16" max="16"/>
    <col width="9" customWidth="1" min="17" max="17"/>
  </cols>
  <sheetData>
    <row r="1">
      <c r="A1" s="9" t="inlineStr">
        <is>
          <t>Pioneer Car Service Center</t>
        </is>
      </c>
      <c r="I1" s="9" t="inlineStr">
        <is>
          <t>Technicians KPI's Report</t>
        </is>
      </c>
      <c r="N1" s="10" t="inlineStr">
        <is>
          <t>Period:</t>
        </is>
      </c>
      <c r="O1" s="10" t="inlineStr">
        <is>
          <t>Jun-2026</t>
        </is>
      </c>
    </row>
    <row r="2">
      <c r="A2" s="2" t="inlineStr">
        <is>
          <t>Data status:</t>
        </is>
      </c>
      <c r="B2" s="11" t="inlineStr">
        <is>
          <t>SIMULATED / ESTIMATED - realistic values based on Jul-2026 baseline</t>
        </is>
      </c>
    </row>
    <row r="5" ht="34" customHeight="1">
      <c r="A5" s="12" t="inlineStr">
        <is>
          <t>S.No</t>
        </is>
      </c>
      <c r="B5" s="12" t="inlineStr">
        <is>
          <t>Technician</t>
        </is>
      </c>
      <c r="C5" s="12" t="inlineStr">
        <is>
          <t>Designation</t>
        </is>
      </c>
      <c r="D5" s="12" t="inlineStr">
        <is>
          <t>Tech ID</t>
        </is>
      </c>
      <c r="E5" s="12" t="inlineStr">
        <is>
          <t>Days Present</t>
        </is>
      </c>
      <c r="F5" s="12" t="inlineStr">
        <is>
          <t>Avail. Hrs</t>
        </is>
      </c>
      <c r="G5" s="12" t="inlineStr">
        <is>
          <t>OT</t>
        </is>
      </c>
      <c r="H5" s="12" t="inlineStr">
        <is>
          <t>Total Hrs</t>
        </is>
      </c>
      <c r="I5" s="12" t="inlineStr">
        <is>
          <t>Worked Hrs</t>
        </is>
      </c>
      <c r="J5" s="12" t="inlineStr">
        <is>
          <t>Prod HRS (%)</t>
        </is>
      </c>
      <c r="K5" s="12" t="inlineStr">
        <is>
          <t>Idle HRS (%)</t>
        </is>
      </c>
      <c r="L5" s="12" t="inlineStr">
        <is>
          <t>Billed Value (AED)</t>
        </is>
      </c>
      <c r="M5" s="12" t="inlineStr">
        <is>
          <t>Billed HRS</t>
        </is>
      </c>
      <c r="N5" s="12" t="inlineStr">
        <is>
          <t>Billed Hours</t>
        </is>
      </c>
      <c r="O5" s="12" t="inlineStr">
        <is>
          <t>U%</t>
        </is>
      </c>
      <c r="P5" s="12" t="inlineStr">
        <is>
          <t>P%</t>
        </is>
      </c>
      <c r="Q5" s="12" t="inlineStr">
        <is>
          <t>E%</t>
        </is>
      </c>
    </row>
    <row r="6">
      <c r="A6" s="13" t="n">
        <v>1</v>
      </c>
      <c r="B6" s="14" t="inlineStr">
        <is>
          <t>GERVAS LEONARD</t>
        </is>
      </c>
      <c r="C6" s="14" t="inlineStr">
        <is>
          <t>DENTER</t>
        </is>
      </c>
      <c r="D6" s="14" t="inlineStr">
        <is>
          <t>TN0015</t>
        </is>
      </c>
      <c r="E6" s="13" t="n">
        <v>26</v>
      </c>
      <c r="F6" s="15">
        <f>E6*8</f>
        <v/>
      </c>
      <c r="G6" s="16" t="n">
        <v>1</v>
      </c>
      <c r="H6" s="15">
        <f>F6+G6</f>
        <v/>
      </c>
      <c r="I6" s="16" t="n">
        <v>180.33</v>
      </c>
      <c r="J6" s="17">
        <f>IFERROR(I6/H6,0)</f>
        <v/>
      </c>
      <c r="K6" s="17">
        <f>MAX(0,1-J6)</f>
        <v/>
      </c>
      <c r="L6" s="18" t="n">
        <v>15406.85</v>
      </c>
      <c r="M6" s="16" t="n">
        <v>180.33</v>
      </c>
      <c r="N6" s="15">
        <f>M6+E6*2</f>
        <v/>
      </c>
      <c r="O6" s="17">
        <f>MIN(1.25,J6+15%)</f>
        <v/>
      </c>
      <c r="P6" s="17">
        <f>J6</f>
        <v/>
      </c>
      <c r="Q6" s="17">
        <f>MIN(1.25,O6*P6/90%)</f>
        <v/>
      </c>
    </row>
    <row r="7">
      <c r="A7" s="13" t="n">
        <v>2</v>
      </c>
      <c r="B7" s="14" t="inlineStr">
        <is>
          <t>ATHUMANI HAMAD NGODA</t>
        </is>
      </c>
      <c r="C7" s="14" t="inlineStr">
        <is>
          <t>PAINTER</t>
        </is>
      </c>
      <c r="D7" s="14" t="inlineStr">
        <is>
          <t>TN0018</t>
        </is>
      </c>
      <c r="E7" s="13" t="n">
        <v>25</v>
      </c>
      <c r="F7" s="15">
        <f>E7*8</f>
        <v/>
      </c>
      <c r="G7" s="16" t="n">
        <v>0</v>
      </c>
      <c r="H7" s="15">
        <f>F7+G7</f>
        <v/>
      </c>
      <c r="I7" s="16" t="n">
        <v>167.69</v>
      </c>
      <c r="J7" s="17">
        <f>IFERROR(I7/H7,0)</f>
        <v/>
      </c>
      <c r="K7" s="17">
        <f>MAX(0,1-J7)</f>
        <v/>
      </c>
      <c r="L7" s="18" t="n">
        <v>14152.97</v>
      </c>
      <c r="M7" s="16" t="n">
        <v>167.69</v>
      </c>
      <c r="N7" s="15">
        <f>M7+E7*2</f>
        <v/>
      </c>
      <c r="O7" s="17">
        <f>MIN(1.25,J7+15%)</f>
        <v/>
      </c>
      <c r="P7" s="17">
        <f>J7</f>
        <v/>
      </c>
      <c r="Q7" s="17">
        <f>MIN(1.25,O7*P7/90%)</f>
        <v/>
      </c>
    </row>
    <row r="8">
      <c r="A8" s="13" t="n">
        <v>3</v>
      </c>
      <c r="B8" s="14" t="inlineStr">
        <is>
          <t>SAMIRULLAH Sheikh</t>
        </is>
      </c>
      <c r="C8" s="14" t="inlineStr">
        <is>
          <t>PAINTER</t>
        </is>
      </c>
      <c r="D8" s="14" t="inlineStr">
        <is>
          <t>TN0020</t>
        </is>
      </c>
      <c r="E8" s="13" t="n">
        <v>23</v>
      </c>
      <c r="F8" s="15">
        <f>E8*8</f>
        <v/>
      </c>
      <c r="G8" s="16" t="n">
        <v>0</v>
      </c>
      <c r="H8" s="15">
        <f>F8+G8</f>
        <v/>
      </c>
      <c r="I8" s="16" t="n">
        <v>167.67</v>
      </c>
      <c r="J8" s="17">
        <f>IFERROR(I8/H8,0)</f>
        <v/>
      </c>
      <c r="K8" s="17">
        <f>MAX(0,1-J8)</f>
        <v/>
      </c>
      <c r="L8" s="18" t="n">
        <v>14070.37</v>
      </c>
      <c r="M8" s="16" t="n">
        <v>167.67</v>
      </c>
      <c r="N8" s="15">
        <f>M8+E8*2</f>
        <v/>
      </c>
      <c r="O8" s="17">
        <f>MIN(1.25,J8+15%)</f>
        <v/>
      </c>
      <c r="P8" s="17">
        <f>J8</f>
        <v/>
      </c>
      <c r="Q8" s="17">
        <f>MIN(1.25,O8*P8/90%)</f>
        <v/>
      </c>
    </row>
    <row r="9">
      <c r="A9" s="13" t="n">
        <v>4</v>
      </c>
      <c r="B9" s="14" t="inlineStr">
        <is>
          <t>BRUNO STEPHANO MASASI</t>
        </is>
      </c>
      <c r="C9" s="14" t="inlineStr">
        <is>
          <t>MECHANIC</t>
        </is>
      </c>
      <c r="D9" s="14" t="inlineStr">
        <is>
          <t>TN0023</t>
        </is>
      </c>
      <c r="E9" s="13" t="n">
        <v>26</v>
      </c>
      <c r="F9" s="15">
        <f>E9*8</f>
        <v/>
      </c>
      <c r="G9" s="16" t="n">
        <v>0</v>
      </c>
      <c r="H9" s="15">
        <f>F9+G9</f>
        <v/>
      </c>
      <c r="I9" s="16" t="n">
        <v>198.14</v>
      </c>
      <c r="J9" s="17">
        <f>IFERROR(I9/H9,0)</f>
        <v/>
      </c>
      <c r="K9" s="17">
        <f>MAX(0,1-J9)</f>
        <v/>
      </c>
      <c r="L9" s="18" t="n">
        <v>17095.77</v>
      </c>
      <c r="M9" s="16" t="n">
        <v>198.14</v>
      </c>
      <c r="N9" s="15">
        <f>M9+E9*2</f>
        <v/>
      </c>
      <c r="O9" s="17">
        <f>MIN(1.25,J9+15%)</f>
        <v/>
      </c>
      <c r="P9" s="17">
        <f>J9</f>
        <v/>
      </c>
      <c r="Q9" s="17">
        <f>MIN(1.25,O9*P9/90%)</f>
        <v/>
      </c>
    </row>
    <row r="10">
      <c r="A10" s="13" t="n">
        <v>5</v>
      </c>
      <c r="B10" s="14" t="inlineStr">
        <is>
          <t>JUMANNE ABDUL</t>
        </is>
      </c>
      <c r="C10" s="14" t="inlineStr">
        <is>
          <t>PAINTER</t>
        </is>
      </c>
      <c r="D10" s="14" t="inlineStr">
        <is>
          <t>TN0025</t>
        </is>
      </c>
      <c r="E10" s="13" t="n">
        <v>26</v>
      </c>
      <c r="F10" s="15">
        <f>E10*8</f>
        <v/>
      </c>
      <c r="G10" s="16" t="n">
        <v>0</v>
      </c>
      <c r="H10" s="15">
        <f>F10+G10</f>
        <v/>
      </c>
      <c r="I10" s="16" t="n">
        <v>181.63</v>
      </c>
      <c r="J10" s="17">
        <f>IFERROR(I10/H10,0)</f>
        <v/>
      </c>
      <c r="K10" s="17">
        <f>MAX(0,1-J10)</f>
        <v/>
      </c>
      <c r="L10" s="18" t="n">
        <v>15134.34</v>
      </c>
      <c r="M10" s="16" t="n">
        <v>181.63</v>
      </c>
      <c r="N10" s="15">
        <f>M10+E10*2</f>
        <v/>
      </c>
      <c r="O10" s="17">
        <f>MIN(1.25,J10+15%)</f>
        <v/>
      </c>
      <c r="P10" s="17">
        <f>J10</f>
        <v/>
      </c>
      <c r="Q10" s="17">
        <f>MIN(1.25,O10*P10/90%)</f>
        <v/>
      </c>
    </row>
    <row r="11">
      <c r="A11" s="13" t="n">
        <v>6</v>
      </c>
      <c r="B11" s="14" t="inlineStr">
        <is>
          <t>Ally Bakali Kufikili</t>
        </is>
      </c>
      <c r="C11" s="14" t="inlineStr">
        <is>
          <t>PAINTER</t>
        </is>
      </c>
      <c r="D11" s="14" t="inlineStr">
        <is>
          <t>TN0027</t>
        </is>
      </c>
      <c r="E11" s="13" t="n">
        <v>1</v>
      </c>
      <c r="F11" s="15">
        <f>E11*8</f>
        <v/>
      </c>
      <c r="G11" s="16" t="n">
        <v>1</v>
      </c>
      <c r="H11" s="15">
        <f>F11+G11</f>
        <v/>
      </c>
      <c r="I11" s="16" t="n">
        <v>7.64</v>
      </c>
      <c r="J11" s="17">
        <f>IFERROR(I11/H11,0)</f>
        <v/>
      </c>
      <c r="K11" s="17">
        <f>MAX(0,1-J11)</f>
        <v/>
      </c>
      <c r="L11" s="18" t="n">
        <v>637.62</v>
      </c>
      <c r="M11" s="16" t="n">
        <v>7.64</v>
      </c>
      <c r="N11" s="15">
        <f>M11+E11*2</f>
        <v/>
      </c>
      <c r="O11" s="17">
        <f>MIN(1.25,J11+15%)</f>
        <v/>
      </c>
      <c r="P11" s="17">
        <f>J11</f>
        <v/>
      </c>
      <c r="Q11" s="17">
        <f>MIN(1.25,O11*P11/90%)</f>
        <v/>
      </c>
    </row>
    <row r="12">
      <c r="A12" s="13" t="n">
        <v>7</v>
      </c>
      <c r="B12" s="14" t="inlineStr">
        <is>
          <t>Daudi Khafani Mrisho</t>
        </is>
      </c>
      <c r="C12" s="14" t="inlineStr">
        <is>
          <t>PAINTER</t>
        </is>
      </c>
      <c r="D12" s="14" t="inlineStr">
        <is>
          <t>TN0028</t>
        </is>
      </c>
      <c r="E12" s="13" t="n">
        <v>26</v>
      </c>
      <c r="F12" s="15">
        <f>E12*8</f>
        <v/>
      </c>
      <c r="G12" s="16" t="n">
        <v>0</v>
      </c>
      <c r="H12" s="15">
        <f>F12+G12</f>
        <v/>
      </c>
      <c r="I12" s="16" t="n">
        <v>179.4</v>
      </c>
      <c r="J12" s="17">
        <f>IFERROR(I12/H12,0)</f>
        <v/>
      </c>
      <c r="K12" s="17">
        <f>MAX(0,1-J12)</f>
        <v/>
      </c>
      <c r="L12" s="18" t="n">
        <v>14876.68</v>
      </c>
      <c r="M12" s="16" t="n">
        <v>179.4</v>
      </c>
      <c r="N12" s="15">
        <f>M12+E12*2</f>
        <v/>
      </c>
      <c r="O12" s="17">
        <f>MIN(1.25,J12+15%)</f>
        <v/>
      </c>
      <c r="P12" s="17">
        <f>J12</f>
        <v/>
      </c>
      <c r="Q12" s="17">
        <f>MIN(1.25,O12*P12/90%)</f>
        <v/>
      </c>
    </row>
    <row r="13">
      <c r="A13" s="13" t="n">
        <v>8</v>
      </c>
      <c r="B13" s="14" t="inlineStr">
        <is>
          <t>Aboo Khan Babu Khan</t>
        </is>
      </c>
      <c r="C13" s="14" t="inlineStr">
        <is>
          <t>PAINTER</t>
        </is>
      </c>
      <c r="D13" s="14" t="inlineStr">
        <is>
          <t>TN0041</t>
        </is>
      </c>
      <c r="E13" s="13" t="n">
        <v>25</v>
      </c>
      <c r="F13" s="15">
        <f>E13*8</f>
        <v/>
      </c>
      <c r="G13" s="16" t="n">
        <v>0</v>
      </c>
      <c r="H13" s="15">
        <f>F13+G13</f>
        <v/>
      </c>
      <c r="I13" s="16" t="n">
        <v>159.44</v>
      </c>
      <c r="J13" s="17">
        <f>IFERROR(I13/H13,0)</f>
        <v/>
      </c>
      <c r="K13" s="17">
        <f>MAX(0,1-J13)</f>
        <v/>
      </c>
      <c r="L13" s="18" t="n">
        <v>13881.48</v>
      </c>
      <c r="M13" s="16" t="n">
        <v>159.44</v>
      </c>
      <c r="N13" s="15">
        <f>M13+E13*2</f>
        <v/>
      </c>
      <c r="O13" s="17">
        <f>MIN(1.25,J13+15%)</f>
        <v/>
      </c>
      <c r="P13" s="17">
        <f>J13</f>
        <v/>
      </c>
      <c r="Q13" s="17">
        <f>MIN(1.25,O13*P13/90%)</f>
        <v/>
      </c>
    </row>
    <row r="14">
      <c r="A14" s="13" t="n">
        <v>9</v>
      </c>
      <c r="B14" s="14" t="inlineStr">
        <is>
          <t>AFZAL ALI</t>
        </is>
      </c>
      <c r="C14" s="14" t="inlineStr">
        <is>
          <t>DENTER</t>
        </is>
      </c>
      <c r="D14" s="14" t="inlineStr">
        <is>
          <t>TN0046</t>
        </is>
      </c>
      <c r="E14" s="13" t="n">
        <v>25</v>
      </c>
      <c r="F14" s="15">
        <f>E14*8</f>
        <v/>
      </c>
      <c r="G14" s="16" t="n">
        <v>0</v>
      </c>
      <c r="H14" s="15">
        <f>F14+G14</f>
        <v/>
      </c>
      <c r="I14" s="16" t="n">
        <v>163.83</v>
      </c>
      <c r="J14" s="17">
        <f>IFERROR(I14/H14,0)</f>
        <v/>
      </c>
      <c r="K14" s="17">
        <f>MAX(0,1-J14)</f>
        <v/>
      </c>
      <c r="L14" s="18" t="n">
        <v>14042.17</v>
      </c>
      <c r="M14" s="16" t="n">
        <v>163.83</v>
      </c>
      <c r="N14" s="15">
        <f>M14+E14*2</f>
        <v/>
      </c>
      <c r="O14" s="17">
        <f>MIN(1.25,J14+15%)</f>
        <v/>
      </c>
      <c r="P14" s="17">
        <f>J14</f>
        <v/>
      </c>
      <c r="Q14" s="17">
        <f>MIN(1.25,O14*P14/90%)</f>
        <v/>
      </c>
    </row>
    <row r="15">
      <c r="A15" s="13" t="n">
        <v>10</v>
      </c>
      <c r="B15" s="14" t="inlineStr">
        <is>
          <t>ALEX LAL</t>
        </is>
      </c>
      <c r="C15" s="14" t="inlineStr">
        <is>
          <t>DENTER</t>
        </is>
      </c>
      <c r="D15" s="14" t="inlineStr">
        <is>
          <t>TN0047</t>
        </is>
      </c>
      <c r="E15" s="13" t="n">
        <v>26</v>
      </c>
      <c r="F15" s="15">
        <f>E15*8</f>
        <v/>
      </c>
      <c r="G15" s="16" t="n">
        <v>2</v>
      </c>
      <c r="H15" s="15">
        <f>F15+G15</f>
        <v/>
      </c>
      <c r="I15" s="16" t="n">
        <v>169.18</v>
      </c>
      <c r="J15" s="17">
        <f>IFERROR(I15/H15,0)</f>
        <v/>
      </c>
      <c r="K15" s="17">
        <f>MAX(0,1-J15)</f>
        <v/>
      </c>
      <c r="L15" s="18" t="n">
        <v>14042.01</v>
      </c>
      <c r="M15" s="16" t="n">
        <v>169.18</v>
      </c>
      <c r="N15" s="15">
        <f>M15+E15*2</f>
        <v/>
      </c>
      <c r="O15" s="17">
        <f>MIN(1.25,J15+15%)</f>
        <v/>
      </c>
      <c r="P15" s="17">
        <f>J15</f>
        <v/>
      </c>
      <c r="Q15" s="17">
        <f>MIN(1.25,O15*P15/90%)</f>
        <v/>
      </c>
    </row>
    <row r="16">
      <c r="A16" s="13" t="n">
        <v>11</v>
      </c>
      <c r="B16" s="14" t="inlineStr">
        <is>
          <t>MOHAMMAD ALMAGIR</t>
        </is>
      </c>
      <c r="C16" s="14" t="inlineStr">
        <is>
          <t>MECHANIC</t>
        </is>
      </c>
      <c r="D16" s="14" t="inlineStr">
        <is>
          <t>TN0055</t>
        </is>
      </c>
      <c r="E16" s="13" t="n">
        <v>14</v>
      </c>
      <c r="F16" s="15">
        <f>E16*8</f>
        <v/>
      </c>
      <c r="G16" s="16" t="n">
        <v>0</v>
      </c>
      <c r="H16" s="15">
        <f>F16+G16</f>
        <v/>
      </c>
      <c r="I16" s="16" t="n">
        <v>46.19</v>
      </c>
      <c r="J16" s="17">
        <f>IFERROR(I16/H16,0)</f>
        <v/>
      </c>
      <c r="K16" s="17">
        <f>MAX(0,1-J16)</f>
        <v/>
      </c>
      <c r="L16" s="18" t="n">
        <v>3883.31</v>
      </c>
      <c r="M16" s="16" t="n">
        <v>46.19</v>
      </c>
      <c r="N16" s="15">
        <f>M16+E16*2</f>
        <v/>
      </c>
      <c r="O16" s="17">
        <f>MIN(1.25,J16+15%)</f>
        <v/>
      </c>
      <c r="P16" s="17">
        <f>J16</f>
        <v/>
      </c>
      <c r="Q16" s="17">
        <f>MIN(1.25,O16*P16/90%)</f>
        <v/>
      </c>
    </row>
    <row r="17">
      <c r="A17" s="13" t="n">
        <v>12</v>
      </c>
      <c r="B17" s="14" t="inlineStr">
        <is>
          <t>ADESH BARUA</t>
        </is>
      </c>
      <c r="C17" s="14" t="inlineStr">
        <is>
          <t>ELECTRICIAN</t>
        </is>
      </c>
      <c r="D17" s="14" t="inlineStr">
        <is>
          <t>TN0064</t>
        </is>
      </c>
      <c r="E17" s="13" t="n">
        <v>24</v>
      </c>
      <c r="F17" s="15">
        <f>E17*8</f>
        <v/>
      </c>
      <c r="G17" s="16" t="n">
        <v>2</v>
      </c>
      <c r="H17" s="15">
        <f>F17+G17</f>
        <v/>
      </c>
      <c r="I17" s="16" t="n">
        <v>158.66</v>
      </c>
      <c r="J17" s="17">
        <f>IFERROR(I17/H17,0)</f>
        <v/>
      </c>
      <c r="K17" s="17">
        <f>MAX(0,1-J17)</f>
        <v/>
      </c>
      <c r="L17" s="18" t="n">
        <v>13204.04</v>
      </c>
      <c r="M17" s="16" t="n">
        <v>158.66</v>
      </c>
      <c r="N17" s="15">
        <f>M17+E17*2</f>
        <v/>
      </c>
      <c r="O17" s="17">
        <f>MIN(1.25,J17+15%)</f>
        <v/>
      </c>
      <c r="P17" s="17">
        <f>J17</f>
        <v/>
      </c>
      <c r="Q17" s="17">
        <f>MIN(1.25,O17*P17/90%)</f>
        <v/>
      </c>
    </row>
    <row r="18">
      <c r="A18" s="13" t="n">
        <v>13</v>
      </c>
      <c r="B18" s="14" t="inlineStr">
        <is>
          <t>BIDYADHAR BHUYAN</t>
        </is>
      </c>
      <c r="C18" s="14" t="inlineStr">
        <is>
          <t>PAINTER</t>
        </is>
      </c>
      <c r="D18" s="14" t="inlineStr">
        <is>
          <t>TN0067</t>
        </is>
      </c>
      <c r="E18" s="13" t="n">
        <v>24</v>
      </c>
      <c r="F18" s="15">
        <f>E18*8</f>
        <v/>
      </c>
      <c r="G18" s="16" t="n">
        <v>2</v>
      </c>
      <c r="H18" s="15">
        <f>F18+G18</f>
        <v/>
      </c>
      <c r="I18" s="16" t="n">
        <v>157.77</v>
      </c>
      <c r="J18" s="17">
        <f>IFERROR(I18/H18,0)</f>
        <v/>
      </c>
      <c r="K18" s="17">
        <f>MAX(0,1-J18)</f>
        <v/>
      </c>
      <c r="L18" s="18" t="n">
        <v>13379.78</v>
      </c>
      <c r="M18" s="16" t="n">
        <v>157.77</v>
      </c>
      <c r="N18" s="15">
        <f>M18+E18*2</f>
        <v/>
      </c>
      <c r="O18" s="17">
        <f>MIN(1.25,J18+15%)</f>
        <v/>
      </c>
      <c r="P18" s="17">
        <f>J18</f>
        <v/>
      </c>
      <c r="Q18" s="17">
        <f>MIN(1.25,O18*P18/90%)</f>
        <v/>
      </c>
    </row>
    <row r="19">
      <c r="A19" s="13" t="n">
        <v>14</v>
      </c>
      <c r="B19" s="14" t="inlineStr">
        <is>
          <t>MOHAMMAD EHTESHAM</t>
        </is>
      </c>
      <c r="C19" s="14" t="inlineStr">
        <is>
          <t>PAINTER</t>
        </is>
      </c>
      <c r="D19" s="14" t="inlineStr">
        <is>
          <t>TN0069</t>
        </is>
      </c>
      <c r="E19" s="13" t="n">
        <v>24</v>
      </c>
      <c r="F19" s="15">
        <f>E19*8</f>
        <v/>
      </c>
      <c r="G19" s="16" t="n">
        <v>0</v>
      </c>
      <c r="H19" s="15">
        <f>F19+G19</f>
        <v/>
      </c>
      <c r="I19" s="16" t="n">
        <v>177.55</v>
      </c>
      <c r="J19" s="17">
        <f>IFERROR(I19/H19,0)</f>
        <v/>
      </c>
      <c r="K19" s="17">
        <f>MAX(0,1-J19)</f>
        <v/>
      </c>
      <c r="L19" s="18" t="n">
        <v>14847.87</v>
      </c>
      <c r="M19" s="16" t="n">
        <v>177.55</v>
      </c>
      <c r="N19" s="15">
        <f>M19+E19*2</f>
        <v/>
      </c>
      <c r="O19" s="17">
        <f>MIN(1.25,J19+15%)</f>
        <v/>
      </c>
      <c r="P19" s="17">
        <f>J19</f>
        <v/>
      </c>
      <c r="Q19" s="17">
        <f>MIN(1.25,O19*P19/90%)</f>
        <v/>
      </c>
    </row>
    <row r="20">
      <c r="A20" s="13" t="n">
        <v>15</v>
      </c>
      <c r="B20" s="14" t="inlineStr">
        <is>
          <t>SHAZADA ALI</t>
        </is>
      </c>
      <c r="C20" s="14" t="inlineStr">
        <is>
          <t>DENTER</t>
        </is>
      </c>
      <c r="D20" s="14" t="inlineStr">
        <is>
          <t>TN0072</t>
        </is>
      </c>
      <c r="E20" s="13" t="n">
        <v>25</v>
      </c>
      <c r="F20" s="15">
        <f>E20*8</f>
        <v/>
      </c>
      <c r="G20" s="16" t="n">
        <v>1</v>
      </c>
      <c r="H20" s="15">
        <f>F20+G20</f>
        <v/>
      </c>
      <c r="I20" s="16" t="n">
        <v>189.92</v>
      </c>
      <c r="J20" s="17">
        <f>IFERROR(I20/H20,0)</f>
        <v/>
      </c>
      <c r="K20" s="17">
        <f>MAX(0,1-J20)</f>
        <v/>
      </c>
      <c r="L20" s="18" t="n">
        <v>15898.99</v>
      </c>
      <c r="M20" s="16" t="n">
        <v>189.92</v>
      </c>
      <c r="N20" s="15">
        <f>M20+E20*2</f>
        <v/>
      </c>
      <c r="O20" s="17">
        <f>MIN(1.25,J20+15%)</f>
        <v/>
      </c>
      <c r="P20" s="17">
        <f>J20</f>
        <v/>
      </c>
      <c r="Q20" s="17">
        <f>MIN(1.25,O20*P20/90%)</f>
        <v/>
      </c>
    </row>
    <row r="21">
      <c r="A21" s="13" t="n">
        <v>16</v>
      </c>
      <c r="B21" s="14" t="inlineStr">
        <is>
          <t>DIVAKAREN</t>
        </is>
      </c>
      <c r="C21" s="14" t="inlineStr">
        <is>
          <t>ELECTRICIAN</t>
        </is>
      </c>
      <c r="D21" s="14" t="inlineStr">
        <is>
          <t>TN0073</t>
        </is>
      </c>
      <c r="E21" s="13" t="n">
        <v>23</v>
      </c>
      <c r="F21" s="15">
        <f>E21*8</f>
        <v/>
      </c>
      <c r="G21" s="16" t="n">
        <v>0</v>
      </c>
      <c r="H21" s="15">
        <f>F21+G21</f>
        <v/>
      </c>
      <c r="I21" s="16" t="n">
        <v>102.47</v>
      </c>
      <c r="J21" s="17">
        <f>IFERROR(I21/H21,0)</f>
        <v/>
      </c>
      <c r="K21" s="17">
        <f>MAX(0,1-J21)</f>
        <v/>
      </c>
      <c r="L21" s="18" t="n">
        <v>8591.219999999999</v>
      </c>
      <c r="M21" s="16" t="n">
        <v>102.47</v>
      </c>
      <c r="N21" s="15">
        <f>M21+E21*2</f>
        <v/>
      </c>
      <c r="O21" s="17">
        <f>MIN(1.25,J21+15%)</f>
        <v/>
      </c>
      <c r="P21" s="17">
        <f>J21</f>
        <v/>
      </c>
      <c r="Q21" s="17">
        <f>MIN(1.25,O21*P21/90%)</f>
        <v/>
      </c>
    </row>
    <row r="22">
      <c r="A22" s="13" t="n">
        <v>17</v>
      </c>
      <c r="B22" s="14" t="inlineStr">
        <is>
          <t>RAGHIN KUVVAKKAT</t>
        </is>
      </c>
      <c r="C22" s="14" t="inlineStr">
        <is>
          <t>MECHANIC</t>
        </is>
      </c>
      <c r="D22" s="14" t="inlineStr">
        <is>
          <t>TN0082</t>
        </is>
      </c>
      <c r="E22" s="13" t="n">
        <v>24</v>
      </c>
      <c r="F22" s="15">
        <f>E22*8</f>
        <v/>
      </c>
      <c r="G22" s="16" t="n">
        <v>2</v>
      </c>
      <c r="H22" s="15">
        <f>F22+G22</f>
        <v/>
      </c>
      <c r="I22" s="16" t="n">
        <v>138.14</v>
      </c>
      <c r="J22" s="17">
        <f>IFERROR(I22/H22,0)</f>
        <v/>
      </c>
      <c r="K22" s="17">
        <f>MAX(0,1-J22)</f>
        <v/>
      </c>
      <c r="L22" s="18" t="n">
        <v>11472.55</v>
      </c>
      <c r="M22" s="16" t="n">
        <v>138.14</v>
      </c>
      <c r="N22" s="15">
        <f>M22+E22*2</f>
        <v/>
      </c>
      <c r="O22" s="17">
        <f>MIN(1.25,J22+15%)</f>
        <v/>
      </c>
      <c r="P22" s="17">
        <f>J22</f>
        <v/>
      </c>
      <c r="Q22" s="17">
        <f>MIN(1.25,O22*P22/90%)</f>
        <v/>
      </c>
    </row>
    <row r="23">
      <c r="A23" s="13" t="n">
        <v>18</v>
      </c>
      <c r="B23" s="14" t="inlineStr">
        <is>
          <t>MARLON LANDICHO</t>
        </is>
      </c>
      <c r="C23" s="14" t="inlineStr">
        <is>
          <t>MECHANIC</t>
        </is>
      </c>
      <c r="D23" s="14" t="inlineStr">
        <is>
          <t>TN0089</t>
        </is>
      </c>
      <c r="E23" s="13" t="n">
        <v>26</v>
      </c>
      <c r="F23" s="15">
        <f>E23*8</f>
        <v/>
      </c>
      <c r="G23" s="16" t="n">
        <v>0</v>
      </c>
      <c r="H23" s="15">
        <f>F23+G23</f>
        <v/>
      </c>
      <c r="I23" s="16" t="n">
        <v>180.78</v>
      </c>
      <c r="J23" s="17">
        <f>IFERROR(I23/H23,0)</f>
        <v/>
      </c>
      <c r="K23" s="17">
        <f>MAX(0,1-J23)</f>
        <v/>
      </c>
      <c r="L23" s="18" t="n">
        <v>15613.27</v>
      </c>
      <c r="M23" s="16" t="n">
        <v>180.78</v>
      </c>
      <c r="N23" s="15">
        <f>M23+E23*2</f>
        <v/>
      </c>
      <c r="O23" s="17">
        <f>MIN(1.25,J23+15%)</f>
        <v/>
      </c>
      <c r="P23" s="17">
        <f>J23</f>
        <v/>
      </c>
      <c r="Q23" s="17">
        <f>MIN(1.25,O23*P23/90%)</f>
        <v/>
      </c>
    </row>
    <row r="24">
      <c r="A24" s="13" t="n">
        <v>19</v>
      </c>
      <c r="B24" s="14" t="inlineStr">
        <is>
          <t>LIJO SAJAN DANIEL</t>
        </is>
      </c>
      <c r="C24" s="14" t="inlineStr">
        <is>
          <t>MECHANIC</t>
        </is>
      </c>
      <c r="D24" s="14" t="inlineStr">
        <is>
          <t>TN0092</t>
        </is>
      </c>
      <c r="E24" s="13" t="n">
        <v>26</v>
      </c>
      <c r="F24" s="15">
        <f>E24*8</f>
        <v/>
      </c>
      <c r="G24" s="16" t="n">
        <v>2</v>
      </c>
      <c r="H24" s="15">
        <f>F24+G24</f>
        <v/>
      </c>
      <c r="I24" s="16" t="n">
        <v>170.51</v>
      </c>
      <c r="J24" s="17">
        <f>IFERROR(I24/H24,0)</f>
        <v/>
      </c>
      <c r="K24" s="17">
        <f>MAX(0,1-J24)</f>
        <v/>
      </c>
      <c r="L24" s="18" t="n">
        <v>14699.17</v>
      </c>
      <c r="M24" s="16" t="n">
        <v>170.51</v>
      </c>
      <c r="N24" s="15">
        <f>M24+E24*2</f>
        <v/>
      </c>
      <c r="O24" s="17">
        <f>MIN(1.25,J24+15%)</f>
        <v/>
      </c>
      <c r="P24" s="17">
        <f>J24</f>
        <v/>
      </c>
      <c r="Q24" s="17">
        <f>MIN(1.25,O24*P24/90%)</f>
        <v/>
      </c>
    </row>
    <row r="25">
      <c r="A25" s="13" t="n">
        <v>20</v>
      </c>
      <c r="B25" s="14" t="inlineStr">
        <is>
          <t>WASSIM AKKARI</t>
        </is>
      </c>
      <c r="C25" s="14" t="inlineStr">
        <is>
          <t>TYRE TECHNICIAN</t>
        </is>
      </c>
      <c r="D25" s="14" t="inlineStr">
        <is>
          <t>TN0096</t>
        </is>
      </c>
      <c r="E25" s="13" t="n">
        <v>22</v>
      </c>
      <c r="F25" s="15">
        <f>E25*8</f>
        <v/>
      </c>
      <c r="G25" s="16" t="n">
        <v>1</v>
      </c>
      <c r="H25" s="15">
        <f>F25+G25</f>
        <v/>
      </c>
      <c r="I25" s="16" t="n">
        <v>124.86</v>
      </c>
      <c r="J25" s="17">
        <f>IFERROR(I25/H25,0)</f>
        <v/>
      </c>
      <c r="K25" s="17">
        <f>MAX(0,1-J25)</f>
        <v/>
      </c>
      <c r="L25" s="18" t="n">
        <v>10571.19</v>
      </c>
      <c r="M25" s="16" t="n">
        <v>124.86</v>
      </c>
      <c r="N25" s="15">
        <f>M25+E25*2</f>
        <v/>
      </c>
      <c r="O25" s="17">
        <f>MIN(1.25,J25+15%)</f>
        <v/>
      </c>
      <c r="P25" s="17">
        <f>J25</f>
        <v/>
      </c>
      <c r="Q25" s="17">
        <f>MIN(1.25,O25*P25/90%)</f>
        <v/>
      </c>
    </row>
    <row r="26">
      <c r="A26" s="13" t="n">
        <v>21</v>
      </c>
      <c r="B26" s="14" t="inlineStr">
        <is>
          <t>MUHAMMAD NADEEM</t>
        </is>
      </c>
      <c r="C26" s="14" t="inlineStr">
        <is>
          <t>MECHANIC</t>
        </is>
      </c>
      <c r="D26" s="14" t="inlineStr">
        <is>
          <t>TN0107</t>
        </is>
      </c>
      <c r="E26" s="13" t="n">
        <v>26</v>
      </c>
      <c r="F26" s="15">
        <f>E26*8</f>
        <v/>
      </c>
      <c r="G26" s="16" t="n">
        <v>0</v>
      </c>
      <c r="H26" s="15">
        <f>F26+G26</f>
        <v/>
      </c>
      <c r="I26" s="16" t="n">
        <v>195.49</v>
      </c>
      <c r="J26" s="17">
        <f>IFERROR(I26/H26,0)</f>
        <v/>
      </c>
      <c r="K26" s="17">
        <f>MAX(0,1-J26)</f>
        <v/>
      </c>
      <c r="L26" s="18" t="n">
        <v>16697.56</v>
      </c>
      <c r="M26" s="16" t="n">
        <v>195.49</v>
      </c>
      <c r="N26" s="15">
        <f>M26+E26*2</f>
        <v/>
      </c>
      <c r="O26" s="17">
        <f>MIN(1.25,J26+15%)</f>
        <v/>
      </c>
      <c r="P26" s="17">
        <f>J26</f>
        <v/>
      </c>
      <c r="Q26" s="17">
        <f>MIN(1.25,O26*P26/90%)</f>
        <v/>
      </c>
    </row>
    <row r="27">
      <c r="A27" s="13" t="n">
        <v>22</v>
      </c>
      <c r="B27" s="14" t="inlineStr">
        <is>
          <t>SURESH NATRAJAN</t>
        </is>
      </c>
      <c r="C27" s="14" t="inlineStr">
        <is>
          <t>TYRE TECHNICIAN</t>
        </is>
      </c>
      <c r="D27" s="14" t="inlineStr">
        <is>
          <t>TN0109</t>
        </is>
      </c>
      <c r="E27" s="13" t="n">
        <v>26</v>
      </c>
      <c r="F27" s="15">
        <f>E27*8</f>
        <v/>
      </c>
      <c r="G27" s="16" t="n">
        <v>4</v>
      </c>
      <c r="H27" s="15">
        <f>F27+G27</f>
        <v/>
      </c>
      <c r="I27" s="16" t="n">
        <v>189.8</v>
      </c>
      <c r="J27" s="17">
        <f>IFERROR(I27/H27,0)</f>
        <v/>
      </c>
      <c r="K27" s="17">
        <f>MAX(0,1-J27)</f>
        <v/>
      </c>
      <c r="L27" s="18" t="n">
        <v>16341.73</v>
      </c>
      <c r="M27" s="16" t="n">
        <v>189.8</v>
      </c>
      <c r="N27" s="15">
        <f>M27+E27*2</f>
        <v/>
      </c>
      <c r="O27" s="17">
        <f>MIN(1.25,J27+15%)</f>
        <v/>
      </c>
      <c r="P27" s="17">
        <f>J27</f>
        <v/>
      </c>
      <c r="Q27" s="17">
        <f>MIN(1.25,O27*P27/90%)</f>
        <v/>
      </c>
    </row>
    <row r="28">
      <c r="A28" s="13" t="n">
        <v>23</v>
      </c>
      <c r="B28" s="14" t="inlineStr">
        <is>
          <t>NIKHIL VARKEY</t>
        </is>
      </c>
      <c r="C28" s="14" t="inlineStr">
        <is>
          <t>ELECTRICIAN</t>
        </is>
      </c>
      <c r="D28" s="14" t="inlineStr">
        <is>
          <t>TN0114</t>
        </is>
      </c>
      <c r="E28" s="13" t="n">
        <v>24</v>
      </c>
      <c r="F28" s="15">
        <f>E28*8</f>
        <v/>
      </c>
      <c r="G28" s="16" t="n">
        <v>0</v>
      </c>
      <c r="H28" s="15">
        <f>F28+G28</f>
        <v/>
      </c>
      <c r="I28" s="16" t="n">
        <v>98.33</v>
      </c>
      <c r="J28" s="17">
        <f>IFERROR(I28/H28,0)</f>
        <v/>
      </c>
      <c r="K28" s="17">
        <f>MAX(0,1-J28)</f>
        <v/>
      </c>
      <c r="L28" s="18" t="n">
        <v>8256.48</v>
      </c>
      <c r="M28" s="16" t="n">
        <v>98.33</v>
      </c>
      <c r="N28" s="15">
        <f>M28+E28*2</f>
        <v/>
      </c>
      <c r="O28" s="17">
        <f>MIN(1.25,J28+15%)</f>
        <v/>
      </c>
      <c r="P28" s="17">
        <f>J28</f>
        <v/>
      </c>
      <c r="Q28" s="17">
        <f>MIN(1.25,O28*P28/90%)</f>
        <v/>
      </c>
    </row>
    <row r="29">
      <c r="A29" s="13" t="n">
        <v>24</v>
      </c>
      <c r="B29" s="14" t="inlineStr">
        <is>
          <t>SAFIQUE MAHAMMAD</t>
        </is>
      </c>
      <c r="C29" s="14" t="inlineStr">
        <is>
          <t>DENTER</t>
        </is>
      </c>
      <c r="D29" s="14" t="inlineStr">
        <is>
          <t>TN0116</t>
        </is>
      </c>
      <c r="E29" s="13" t="n">
        <v>24</v>
      </c>
      <c r="F29" s="15">
        <f>E29*8</f>
        <v/>
      </c>
      <c r="G29" s="16" t="n">
        <v>1</v>
      </c>
      <c r="H29" s="15">
        <f>F29+G29</f>
        <v/>
      </c>
      <c r="I29" s="16" t="n">
        <v>147.48</v>
      </c>
      <c r="J29" s="17">
        <f>IFERROR(I29/H29,0)</f>
        <v/>
      </c>
      <c r="K29" s="17">
        <f>MAX(0,1-J29)</f>
        <v/>
      </c>
      <c r="L29" s="18" t="n">
        <v>12764.63</v>
      </c>
      <c r="M29" s="16" t="n">
        <v>147.48</v>
      </c>
      <c r="N29" s="15">
        <f>M29+E29*2</f>
        <v/>
      </c>
      <c r="O29" s="17">
        <f>MIN(1.25,J29+15%)</f>
        <v/>
      </c>
      <c r="P29" s="17">
        <f>J29</f>
        <v/>
      </c>
      <c r="Q29" s="17">
        <f>MIN(1.25,O29*P29/90%)</f>
        <v/>
      </c>
    </row>
    <row r="30">
      <c r="A30" s="13" t="n">
        <v>25</v>
      </c>
      <c r="B30" s="14" t="inlineStr">
        <is>
          <t>MOHAMAMD RAJA</t>
        </is>
      </c>
      <c r="C30" s="14" t="inlineStr">
        <is>
          <t>PAINTER</t>
        </is>
      </c>
      <c r="D30" s="14" t="inlineStr">
        <is>
          <t>TN0121</t>
        </is>
      </c>
      <c r="E30" s="13" t="n">
        <v>26</v>
      </c>
      <c r="F30" s="15">
        <f>E30*8</f>
        <v/>
      </c>
      <c r="G30" s="16" t="n">
        <v>0</v>
      </c>
      <c r="H30" s="15">
        <f>F30+G30</f>
        <v/>
      </c>
      <c r="I30" s="16" t="n">
        <v>150.28</v>
      </c>
      <c r="J30" s="17">
        <f>IFERROR(I30/H30,0)</f>
        <v/>
      </c>
      <c r="K30" s="17">
        <f>MAX(0,1-J30)</f>
        <v/>
      </c>
      <c r="L30" s="18" t="n">
        <v>12753.71</v>
      </c>
      <c r="M30" s="16" t="n">
        <v>150.28</v>
      </c>
      <c r="N30" s="15">
        <f>M30+E30*2</f>
        <v/>
      </c>
      <c r="O30" s="17">
        <f>MIN(1.25,J30+15%)</f>
        <v/>
      </c>
      <c r="P30" s="17">
        <f>J30</f>
        <v/>
      </c>
      <c r="Q30" s="17">
        <f>MIN(1.25,O30*P30/90%)</f>
        <v/>
      </c>
    </row>
    <row r="31">
      <c r="A31" s="13" t="n">
        <v>26</v>
      </c>
      <c r="B31" s="14" t="inlineStr">
        <is>
          <t>EJAJ AHMAD</t>
        </is>
      </c>
      <c r="C31" s="14" t="inlineStr">
        <is>
          <t>DENTER</t>
        </is>
      </c>
      <c r="D31" s="14" t="inlineStr">
        <is>
          <t>TN0122</t>
        </is>
      </c>
      <c r="E31" s="13" t="n">
        <v>25</v>
      </c>
      <c r="F31" s="15">
        <f>E31*8</f>
        <v/>
      </c>
      <c r="G31" s="16" t="n">
        <v>0</v>
      </c>
      <c r="H31" s="15">
        <f>F31+G31</f>
        <v/>
      </c>
      <c r="I31" s="16" t="n">
        <v>169.56</v>
      </c>
      <c r="J31" s="17">
        <f>IFERROR(I31/H31,0)</f>
        <v/>
      </c>
      <c r="K31" s="17">
        <f>MAX(0,1-J31)</f>
        <v/>
      </c>
      <c r="L31" s="18" t="n">
        <v>14296.36</v>
      </c>
      <c r="M31" s="16" t="n">
        <v>169.56</v>
      </c>
      <c r="N31" s="15">
        <f>M31+E31*2</f>
        <v/>
      </c>
      <c r="O31" s="17">
        <f>MIN(1.25,J31+15%)</f>
        <v/>
      </c>
      <c r="P31" s="17">
        <f>J31</f>
        <v/>
      </c>
      <c r="Q31" s="17">
        <f>MIN(1.25,O31*P31/90%)</f>
        <v/>
      </c>
    </row>
    <row r="32">
      <c r="A32" s="13" t="n">
        <v>27</v>
      </c>
      <c r="B32" s="14" t="inlineStr">
        <is>
          <t>MUHAMMAD ALMAS</t>
        </is>
      </c>
      <c r="C32" s="14" t="inlineStr">
        <is>
          <t>DENTER</t>
        </is>
      </c>
      <c r="D32" s="14" t="inlineStr">
        <is>
          <t>TN0128</t>
        </is>
      </c>
      <c r="E32" s="13" t="n">
        <v>26</v>
      </c>
      <c r="F32" s="15">
        <f>E32*8</f>
        <v/>
      </c>
      <c r="G32" s="16" t="n">
        <v>0</v>
      </c>
      <c r="H32" s="15">
        <f>F32+G32</f>
        <v/>
      </c>
      <c r="I32" s="16" t="n">
        <v>121.46</v>
      </c>
      <c r="J32" s="17">
        <f>IFERROR(I32/H32,0)</f>
        <v/>
      </c>
      <c r="K32" s="17">
        <f>MAX(0,1-J32)</f>
        <v/>
      </c>
      <c r="L32" s="18" t="n">
        <v>10394.11</v>
      </c>
      <c r="M32" s="16" t="n">
        <v>121.46</v>
      </c>
      <c r="N32" s="15">
        <f>M32+E32*2</f>
        <v/>
      </c>
      <c r="O32" s="17">
        <f>MIN(1.25,J32+15%)</f>
        <v/>
      </c>
      <c r="P32" s="17">
        <f>J32</f>
        <v/>
      </c>
      <c r="Q32" s="17">
        <f>MIN(1.25,O32*P32/90%)</f>
        <v/>
      </c>
    </row>
    <row r="33">
      <c r="A33" s="13" t="n">
        <v>28</v>
      </c>
      <c r="B33" s="14" t="inlineStr">
        <is>
          <t>Zeshan</t>
        </is>
      </c>
      <c r="C33" s="14" t="inlineStr">
        <is>
          <t>DENTER</t>
        </is>
      </c>
      <c r="D33" s="14" t="inlineStr">
        <is>
          <t>TN0141</t>
        </is>
      </c>
      <c r="E33" s="13" t="n">
        <v>26</v>
      </c>
      <c r="F33" s="15">
        <f>E33*8</f>
        <v/>
      </c>
      <c r="G33" s="16" t="n">
        <v>0</v>
      </c>
      <c r="H33" s="15">
        <f>F33+G33</f>
        <v/>
      </c>
      <c r="I33" s="16" t="n">
        <v>199.6</v>
      </c>
      <c r="J33" s="17">
        <f>IFERROR(I33/H33,0)</f>
        <v/>
      </c>
      <c r="K33" s="17">
        <f>MAX(0,1-J33)</f>
        <v/>
      </c>
      <c r="L33" s="18" t="n">
        <v>17226.8</v>
      </c>
      <c r="M33" s="16" t="n">
        <v>199.6</v>
      </c>
      <c r="N33" s="15">
        <f>M33+E33*2</f>
        <v/>
      </c>
      <c r="O33" s="17">
        <f>MIN(1.25,J33+15%)</f>
        <v/>
      </c>
      <c r="P33" s="17">
        <f>J33</f>
        <v/>
      </c>
      <c r="Q33" s="17">
        <f>MIN(1.25,O33*P33/90%)</f>
        <v/>
      </c>
    </row>
    <row r="34">
      <c r="A34" s="13" t="n">
        <v>29</v>
      </c>
      <c r="B34" s="14" t="inlineStr">
        <is>
          <t>SAIDAB AHAMED</t>
        </is>
      </c>
      <c r="C34" s="14" t="inlineStr">
        <is>
          <t>TYRE TECHNICIAN</t>
        </is>
      </c>
      <c r="D34" s="14" t="inlineStr">
        <is>
          <t>TN0150</t>
        </is>
      </c>
      <c r="E34" s="13" t="n">
        <v>25</v>
      </c>
      <c r="F34" s="15">
        <f>E34*8</f>
        <v/>
      </c>
      <c r="G34" s="16" t="n">
        <v>2</v>
      </c>
      <c r="H34" s="15">
        <f>F34+G34</f>
        <v/>
      </c>
      <c r="I34" s="16" t="n">
        <v>177.64</v>
      </c>
      <c r="J34" s="17">
        <f>IFERROR(I34/H34,0)</f>
        <v/>
      </c>
      <c r="K34" s="17">
        <f>MAX(0,1-J34)</f>
        <v/>
      </c>
      <c r="L34" s="18" t="n">
        <v>14911.83</v>
      </c>
      <c r="M34" s="16" t="n">
        <v>177.64</v>
      </c>
      <c r="N34" s="15">
        <f>M34+E34*2</f>
        <v/>
      </c>
      <c r="O34" s="17">
        <f>MIN(1.25,J34+15%)</f>
        <v/>
      </c>
      <c r="P34" s="17">
        <f>J34</f>
        <v/>
      </c>
      <c r="Q34" s="17">
        <f>MIN(1.25,O34*P34/90%)</f>
        <v/>
      </c>
    </row>
    <row r="35">
      <c r="A35" s="13" t="n">
        <v>30</v>
      </c>
      <c r="B35" s="14" t="inlineStr">
        <is>
          <t>FRANCIS AGEWI</t>
        </is>
      </c>
      <c r="C35" s="14" t="inlineStr">
        <is>
          <t>MECHANIC</t>
        </is>
      </c>
      <c r="D35" s="14" t="inlineStr">
        <is>
          <t>TN0171</t>
        </is>
      </c>
      <c r="E35" s="13" t="n">
        <v>24</v>
      </c>
      <c r="F35" s="15">
        <f>E35*8</f>
        <v/>
      </c>
      <c r="G35" s="16" t="n">
        <v>1</v>
      </c>
      <c r="H35" s="15">
        <f>F35+G35</f>
        <v/>
      </c>
      <c r="I35" s="16" t="n">
        <v>189.19</v>
      </c>
      <c r="J35" s="17">
        <f>IFERROR(I35/H35,0)</f>
        <v/>
      </c>
      <c r="K35" s="17">
        <f>MAX(0,1-J35)</f>
        <v/>
      </c>
      <c r="L35" s="18" t="n">
        <v>15850.95</v>
      </c>
      <c r="M35" s="16" t="n">
        <v>189.19</v>
      </c>
      <c r="N35" s="15">
        <f>M35+E35*2</f>
        <v/>
      </c>
      <c r="O35" s="17">
        <f>MIN(1.25,J35+15%)</f>
        <v/>
      </c>
      <c r="P35" s="17">
        <f>J35</f>
        <v/>
      </c>
      <c r="Q35" s="17">
        <f>MIN(1.25,O35*P35/90%)</f>
        <v/>
      </c>
    </row>
    <row r="36">
      <c r="A36" s="13" t="n">
        <v>31</v>
      </c>
      <c r="B36" s="14" t="inlineStr">
        <is>
          <t>Ally Ibrahim</t>
        </is>
      </c>
      <c r="C36" s="14" t="inlineStr">
        <is>
          <t>DENTER</t>
        </is>
      </c>
      <c r="D36" s="14" t="inlineStr">
        <is>
          <t>TN0180</t>
        </is>
      </c>
      <c r="E36" s="13" t="n">
        <v>14</v>
      </c>
      <c r="F36" s="15">
        <f>E36*8</f>
        <v/>
      </c>
      <c r="G36" s="16" t="n">
        <v>4</v>
      </c>
      <c r="H36" s="15">
        <f>F36+G36</f>
        <v/>
      </c>
      <c r="I36" s="16" t="n">
        <v>37.63</v>
      </c>
      <c r="J36" s="17">
        <f>IFERROR(I36/H36,0)</f>
        <v/>
      </c>
      <c r="K36" s="17">
        <f>MAX(0,1-J36)</f>
        <v/>
      </c>
      <c r="L36" s="18" t="n">
        <v>3242.2</v>
      </c>
      <c r="M36" s="16" t="n">
        <v>37.63</v>
      </c>
      <c r="N36" s="15">
        <f>M36+E36*2</f>
        <v/>
      </c>
      <c r="O36" s="17">
        <f>MIN(1.25,J36+15%)</f>
        <v/>
      </c>
      <c r="P36" s="17">
        <f>J36</f>
        <v/>
      </c>
      <c r="Q36" s="17">
        <f>MIN(1.25,O36*P36/90%)</f>
        <v/>
      </c>
    </row>
    <row r="37">
      <c r="A37" s="13" t="n">
        <v>32</v>
      </c>
      <c r="B37" s="14" t="inlineStr">
        <is>
          <t>RATHEETH PANICHOTH</t>
        </is>
      </c>
      <c r="C37" s="14" t="inlineStr">
        <is>
          <t>ELECTRICIAN</t>
        </is>
      </c>
      <c r="D37" s="14" t="inlineStr">
        <is>
          <t>TN0181</t>
        </is>
      </c>
      <c r="E37" s="13" t="n">
        <v>24</v>
      </c>
      <c r="F37" s="15">
        <f>E37*8</f>
        <v/>
      </c>
      <c r="G37" s="16" t="n">
        <v>0</v>
      </c>
      <c r="H37" s="15">
        <f>F37+G37</f>
        <v/>
      </c>
      <c r="I37" s="16" t="n">
        <v>152.22</v>
      </c>
      <c r="J37" s="17">
        <f>IFERROR(I37/H37,0)</f>
        <v/>
      </c>
      <c r="K37" s="17">
        <f>MAX(0,1-J37)</f>
        <v/>
      </c>
      <c r="L37" s="18" t="n">
        <v>12859.53</v>
      </c>
      <c r="M37" s="16" t="n">
        <v>152.22</v>
      </c>
      <c r="N37" s="15">
        <f>M37+E37*2</f>
        <v/>
      </c>
      <c r="O37" s="17">
        <f>MIN(1.25,J37+15%)</f>
        <v/>
      </c>
      <c r="P37" s="17">
        <f>J37</f>
        <v/>
      </c>
      <c r="Q37" s="17">
        <f>MIN(1.25,O37*P37/90%)</f>
        <v/>
      </c>
    </row>
    <row r="38">
      <c r="A38" s="13" t="n">
        <v>33</v>
      </c>
      <c r="B38" s="14" t="inlineStr">
        <is>
          <t>MARK KAYIGO</t>
        </is>
      </c>
      <c r="C38" s="14" t="inlineStr">
        <is>
          <t>MECHANIC</t>
        </is>
      </c>
      <c r="D38" s="14" t="inlineStr">
        <is>
          <t>TN0182</t>
        </is>
      </c>
      <c r="E38" s="13" t="n">
        <v>26</v>
      </c>
      <c r="F38" s="15">
        <f>E38*8</f>
        <v/>
      </c>
      <c r="G38" s="16" t="n">
        <v>0</v>
      </c>
      <c r="H38" s="15">
        <f>F38+G38</f>
        <v/>
      </c>
      <c r="I38" s="16" t="n">
        <v>190.96</v>
      </c>
      <c r="J38" s="17">
        <f>IFERROR(I38/H38,0)</f>
        <v/>
      </c>
      <c r="K38" s="17">
        <f>MAX(0,1-J38)</f>
        <v/>
      </c>
      <c r="L38" s="18" t="n">
        <v>16457.25</v>
      </c>
      <c r="M38" s="16" t="n">
        <v>190.96</v>
      </c>
      <c r="N38" s="15">
        <f>M38+E38*2</f>
        <v/>
      </c>
      <c r="O38" s="17">
        <f>MIN(1.25,J38+15%)</f>
        <v/>
      </c>
      <c r="P38" s="17">
        <f>J38</f>
        <v/>
      </c>
      <c r="Q38" s="17">
        <f>MIN(1.25,O38*P38/90%)</f>
        <v/>
      </c>
    </row>
    <row r="39">
      <c r="A39" s="13" t="n">
        <v>34</v>
      </c>
      <c r="B39" s="14" t="inlineStr">
        <is>
          <t>ENAYAT SHAIKH ALI SHAIKH</t>
        </is>
      </c>
      <c r="C39" s="14" t="inlineStr">
        <is>
          <t>PAINTER</t>
        </is>
      </c>
      <c r="D39" s="14" t="inlineStr">
        <is>
          <t>TN0185</t>
        </is>
      </c>
      <c r="E39" s="13" t="n">
        <v>23</v>
      </c>
      <c r="F39" s="15">
        <f>E39*8</f>
        <v/>
      </c>
      <c r="G39" s="16" t="n">
        <v>2</v>
      </c>
      <c r="H39" s="15">
        <f>F39+G39</f>
        <v/>
      </c>
      <c r="I39" s="16" t="n">
        <v>146.94</v>
      </c>
      <c r="J39" s="17">
        <f>IFERROR(I39/H39,0)</f>
        <v/>
      </c>
      <c r="K39" s="17">
        <f>MAX(0,1-J39)</f>
        <v/>
      </c>
      <c r="L39" s="18" t="n">
        <v>12230.88</v>
      </c>
      <c r="M39" s="16" t="n">
        <v>146.94</v>
      </c>
      <c r="N39" s="15">
        <f>M39+E39*2</f>
        <v/>
      </c>
      <c r="O39" s="17">
        <f>MIN(1.25,J39+15%)</f>
        <v/>
      </c>
      <c r="P39" s="17">
        <f>J39</f>
        <v/>
      </c>
      <c r="Q39" s="17">
        <f>MIN(1.25,O39*P39/90%)</f>
        <v/>
      </c>
    </row>
    <row r="40">
      <c r="A40" s="13" t="n">
        <v>35</v>
      </c>
      <c r="B40" s="14" t="inlineStr">
        <is>
          <t>WAQAS GUL KHAN</t>
        </is>
      </c>
      <c r="C40" s="14" t="inlineStr">
        <is>
          <t>PAINTER</t>
        </is>
      </c>
      <c r="D40" s="14" t="inlineStr">
        <is>
          <t>TN0186</t>
        </is>
      </c>
      <c r="E40" s="13" t="n">
        <v>25</v>
      </c>
      <c r="F40" s="15">
        <f>E40*8</f>
        <v/>
      </c>
      <c r="G40" s="16" t="n">
        <v>4</v>
      </c>
      <c r="H40" s="15">
        <f>F40+G40</f>
        <v/>
      </c>
      <c r="I40" s="16" t="n">
        <v>179.11</v>
      </c>
      <c r="J40" s="17">
        <f>IFERROR(I40/H40,0)</f>
        <v/>
      </c>
      <c r="K40" s="17">
        <f>MAX(0,1-J40)</f>
        <v/>
      </c>
      <c r="L40" s="18" t="n">
        <v>15120.88</v>
      </c>
      <c r="M40" s="16" t="n">
        <v>179.11</v>
      </c>
      <c r="N40" s="15">
        <f>M40+E40*2</f>
        <v/>
      </c>
      <c r="O40" s="17">
        <f>MIN(1.25,J40+15%)</f>
        <v/>
      </c>
      <c r="P40" s="17">
        <f>J40</f>
        <v/>
      </c>
      <c r="Q40" s="17">
        <f>MIN(1.25,O40*P40/90%)</f>
        <v/>
      </c>
    </row>
    <row r="41">
      <c r="A41" s="13" t="n">
        <v>36</v>
      </c>
      <c r="B41" s="14" t="inlineStr">
        <is>
          <t>FARHAN AHAMAD</t>
        </is>
      </c>
      <c r="C41" s="14" t="inlineStr">
        <is>
          <t>MECHANIC</t>
        </is>
      </c>
      <c r="D41" s="14" t="inlineStr">
        <is>
          <t>TN0187</t>
        </is>
      </c>
      <c r="E41" s="13" t="n">
        <v>25</v>
      </c>
      <c r="F41" s="15">
        <f>E41*8</f>
        <v/>
      </c>
      <c r="G41" s="16" t="n">
        <v>4</v>
      </c>
      <c r="H41" s="15">
        <f>F41+G41</f>
        <v/>
      </c>
      <c r="I41" s="16" t="n">
        <v>191.4</v>
      </c>
      <c r="J41" s="17">
        <f>IFERROR(I41/H41,0)</f>
        <v/>
      </c>
      <c r="K41" s="17">
        <f>MAX(0,1-J41)</f>
        <v/>
      </c>
      <c r="L41" s="18" t="n">
        <v>15950.12</v>
      </c>
      <c r="M41" s="16" t="n">
        <v>191.4</v>
      </c>
      <c r="N41" s="15">
        <f>M41+E41*2</f>
        <v/>
      </c>
      <c r="O41" s="17">
        <f>MIN(1.25,J41+15%)</f>
        <v/>
      </c>
      <c r="P41" s="17">
        <f>J41</f>
        <v/>
      </c>
      <c r="Q41" s="17">
        <f>MIN(1.25,O41*P41/90%)</f>
        <v/>
      </c>
    </row>
    <row r="42">
      <c r="A42" s="13" t="n">
        <v>37</v>
      </c>
      <c r="B42" s="14" t="inlineStr">
        <is>
          <t>ABDELILAH BOUDINA</t>
        </is>
      </c>
      <c r="C42" s="14" t="inlineStr">
        <is>
          <t>PAINTER</t>
        </is>
      </c>
      <c r="D42" s="14" t="inlineStr">
        <is>
          <t>TN0201</t>
        </is>
      </c>
      <c r="E42" s="13" t="n">
        <v>2</v>
      </c>
      <c r="F42" s="15">
        <f>E42*8</f>
        <v/>
      </c>
      <c r="G42" s="16" t="n">
        <v>4</v>
      </c>
      <c r="H42" s="15">
        <f>F42+G42</f>
        <v/>
      </c>
      <c r="I42" s="16" t="n">
        <v>1.6</v>
      </c>
      <c r="J42" s="17">
        <f>IFERROR(I42/H42,0)</f>
        <v/>
      </c>
      <c r="K42" s="17">
        <f>MAX(0,1-J42)</f>
        <v/>
      </c>
      <c r="L42" s="18" t="n">
        <v>135.97</v>
      </c>
      <c r="M42" s="16" t="n">
        <v>1.6</v>
      </c>
      <c r="N42" s="15">
        <f>M42+E42*2</f>
        <v/>
      </c>
      <c r="O42" s="17">
        <f>MIN(1.25,J42+15%)</f>
        <v/>
      </c>
      <c r="P42" s="17">
        <f>J42</f>
        <v/>
      </c>
      <c r="Q42" s="17">
        <f>MIN(1.25,O42*P42/90%)</f>
        <v/>
      </c>
    </row>
    <row r="43">
      <c r="A43" s="13" t="n">
        <v>38</v>
      </c>
      <c r="B43" s="14" t="inlineStr">
        <is>
          <t>Jerin Kurian Varghese</t>
        </is>
      </c>
      <c r="C43" s="14" t="inlineStr">
        <is>
          <t>MECHANIC</t>
        </is>
      </c>
      <c r="D43" s="14" t="inlineStr">
        <is>
          <t>TN0204</t>
        </is>
      </c>
      <c r="E43" s="13" t="n">
        <v>23</v>
      </c>
      <c r="F43" s="15">
        <f>E43*8</f>
        <v/>
      </c>
      <c r="G43" s="16" t="n">
        <v>0</v>
      </c>
      <c r="H43" s="15">
        <f>F43+G43</f>
        <v/>
      </c>
      <c r="I43" s="16" t="n">
        <v>167.67</v>
      </c>
      <c r="J43" s="17">
        <f>IFERROR(I43/H43,0)</f>
        <v/>
      </c>
      <c r="K43" s="17">
        <f>MAX(0,1-J43)</f>
        <v/>
      </c>
      <c r="L43" s="18" t="n">
        <v>14018.58</v>
      </c>
      <c r="M43" s="16" t="n">
        <v>167.67</v>
      </c>
      <c r="N43" s="15">
        <f>M43+E43*2</f>
        <v/>
      </c>
      <c r="O43" s="17">
        <f>MIN(1.25,J43+15%)</f>
        <v/>
      </c>
      <c r="P43" s="17">
        <f>J43</f>
        <v/>
      </c>
      <c r="Q43" s="17">
        <f>MIN(1.25,O43*P43/90%)</f>
        <v/>
      </c>
    </row>
    <row r="44">
      <c r="A44" s="13" t="n">
        <v>39</v>
      </c>
      <c r="B44" s="14" t="inlineStr">
        <is>
          <t>Mohammed Monjur</t>
        </is>
      </c>
      <c r="C44" s="14" t="inlineStr">
        <is>
          <t>MECHANIC</t>
        </is>
      </c>
      <c r="D44" s="14" t="inlineStr">
        <is>
          <t>TN0209</t>
        </is>
      </c>
      <c r="E44" s="13" t="n">
        <v>26</v>
      </c>
      <c r="F44" s="15">
        <f>E44*8</f>
        <v/>
      </c>
      <c r="G44" s="16" t="n">
        <v>4</v>
      </c>
      <c r="H44" s="15">
        <f>F44+G44</f>
        <v/>
      </c>
      <c r="I44" s="16" t="n">
        <v>204.69</v>
      </c>
      <c r="J44" s="17">
        <f>IFERROR(I44/H44,0)</f>
        <v/>
      </c>
      <c r="K44" s="17">
        <f>MAX(0,1-J44)</f>
        <v/>
      </c>
      <c r="L44" s="18" t="n">
        <v>17488.47</v>
      </c>
      <c r="M44" s="16" t="n">
        <v>204.69</v>
      </c>
      <c r="N44" s="15">
        <f>M44+E44*2</f>
        <v/>
      </c>
      <c r="O44" s="17">
        <f>MIN(1.25,J44+15%)</f>
        <v/>
      </c>
      <c r="P44" s="17">
        <f>J44</f>
        <v/>
      </c>
      <c r="Q44" s="17">
        <f>MIN(1.25,O44*P44/90%)</f>
        <v/>
      </c>
    </row>
    <row r="45">
      <c r="A45" s="13" t="n">
        <v>40</v>
      </c>
      <c r="B45" s="14" t="inlineStr">
        <is>
          <t>ZEGER HAYAT MOHAMMAD ZA</t>
        </is>
      </c>
      <c r="C45" s="14" t="inlineStr">
        <is>
          <t>MECHANIC</t>
        </is>
      </c>
      <c r="D45" s="14" t="inlineStr">
        <is>
          <t>TN0210</t>
        </is>
      </c>
      <c r="E45" s="13" t="n">
        <v>26</v>
      </c>
      <c r="F45" s="15">
        <f>E45*8</f>
        <v/>
      </c>
      <c r="G45" s="16" t="n">
        <v>1</v>
      </c>
      <c r="H45" s="15">
        <f>F45+G45</f>
        <v/>
      </c>
      <c r="I45" s="16" t="n">
        <v>143.53</v>
      </c>
      <c r="J45" s="17">
        <f>IFERROR(I45/H45,0)</f>
        <v/>
      </c>
      <c r="K45" s="17">
        <f>MAX(0,1-J45)</f>
        <v/>
      </c>
      <c r="L45" s="18" t="n">
        <v>12437.89</v>
      </c>
      <c r="M45" s="16" t="n">
        <v>143.53</v>
      </c>
      <c r="N45" s="15">
        <f>M45+E45*2</f>
        <v/>
      </c>
      <c r="O45" s="17">
        <f>MIN(1.25,J45+15%)</f>
        <v/>
      </c>
      <c r="P45" s="17">
        <f>J45</f>
        <v/>
      </c>
      <c r="Q45" s="17">
        <f>MIN(1.25,O45*P45/90%)</f>
        <v/>
      </c>
    </row>
    <row r="46">
      <c r="A46" s="13" t="n">
        <v>41</v>
      </c>
      <c r="B46" s="14" t="inlineStr">
        <is>
          <t>BIJU M UNNI</t>
        </is>
      </c>
      <c r="C46" s="14" t="inlineStr">
        <is>
          <t>PAINTER</t>
        </is>
      </c>
      <c r="D46" s="14" t="inlineStr">
        <is>
          <t>TN0220</t>
        </is>
      </c>
      <c r="E46" s="13" t="n">
        <v>26</v>
      </c>
      <c r="F46" s="15">
        <f>E46*8</f>
        <v/>
      </c>
      <c r="G46" s="16" t="n">
        <v>0</v>
      </c>
      <c r="H46" s="15">
        <f>F46+G46</f>
        <v/>
      </c>
      <c r="I46" s="16" t="n">
        <v>120.93</v>
      </c>
      <c r="J46" s="17">
        <f>IFERROR(I46/H46,0)</f>
        <v/>
      </c>
      <c r="K46" s="17">
        <f>MAX(0,1-J46)</f>
        <v/>
      </c>
      <c r="L46" s="18" t="n">
        <v>10162.55</v>
      </c>
      <c r="M46" s="16" t="n">
        <v>120.93</v>
      </c>
      <c r="N46" s="15">
        <f>M46+E46*2</f>
        <v/>
      </c>
      <c r="O46" s="17">
        <f>MIN(1.25,J46+15%)</f>
        <v/>
      </c>
      <c r="P46" s="17">
        <f>J46</f>
        <v/>
      </c>
      <c r="Q46" s="17">
        <f>MIN(1.25,O46*P46/90%)</f>
        <v/>
      </c>
    </row>
    <row r="47">
      <c r="A47" s="13" t="n">
        <v>42</v>
      </c>
      <c r="B47" s="14" t="inlineStr">
        <is>
          <t>DIBAKAR SAHOO MURALDHAR</t>
        </is>
      </c>
      <c r="C47" s="14" t="inlineStr">
        <is>
          <t>PAINTER</t>
        </is>
      </c>
      <c r="D47" s="14" t="inlineStr">
        <is>
          <t>TN0222</t>
        </is>
      </c>
      <c r="E47" s="13" t="n">
        <v>23</v>
      </c>
      <c r="F47" s="15">
        <f>E47*8</f>
        <v/>
      </c>
      <c r="G47" s="16" t="n">
        <v>1</v>
      </c>
      <c r="H47" s="15">
        <f>F47+G47</f>
        <v/>
      </c>
      <c r="I47" s="16" t="n">
        <v>162.22</v>
      </c>
      <c r="J47" s="17">
        <f>IFERROR(I47/H47,0)</f>
        <v/>
      </c>
      <c r="K47" s="17">
        <f>MAX(0,1-J47)</f>
        <v/>
      </c>
      <c r="L47" s="18" t="n">
        <v>13718.69</v>
      </c>
      <c r="M47" s="16" t="n">
        <v>162.22</v>
      </c>
      <c r="N47" s="15">
        <f>M47+E47*2</f>
        <v/>
      </c>
      <c r="O47" s="17">
        <f>MIN(1.25,J47+15%)</f>
        <v/>
      </c>
      <c r="P47" s="17">
        <f>J47</f>
        <v/>
      </c>
      <c r="Q47" s="17">
        <f>MIN(1.25,O47*P47/90%)</f>
        <v/>
      </c>
    </row>
    <row r="48">
      <c r="A48" s="13" t="n">
        <v>43</v>
      </c>
      <c r="B48" s="14" t="inlineStr">
        <is>
          <t>SHAIKH MUSTAQUE ALI</t>
        </is>
      </c>
      <c r="C48" s="14" t="inlineStr">
        <is>
          <t>DENTER</t>
        </is>
      </c>
      <c r="D48" s="14" t="inlineStr">
        <is>
          <t>TN0224</t>
        </is>
      </c>
      <c r="E48" s="13" t="n">
        <v>26</v>
      </c>
      <c r="F48" s="15">
        <f>E48*8</f>
        <v/>
      </c>
      <c r="G48" s="16" t="n">
        <v>0</v>
      </c>
      <c r="H48" s="15">
        <f>F48+G48</f>
        <v/>
      </c>
      <c r="I48" s="16" t="n">
        <v>162.21</v>
      </c>
      <c r="J48" s="17">
        <f>IFERROR(I48/H48,0)</f>
        <v/>
      </c>
      <c r="K48" s="17">
        <f>MAX(0,1-J48)</f>
        <v/>
      </c>
      <c r="L48" s="18" t="n">
        <v>14030.97</v>
      </c>
      <c r="M48" s="16" t="n">
        <v>162.21</v>
      </c>
      <c r="N48" s="15">
        <f>M48+E48*2</f>
        <v/>
      </c>
      <c r="O48" s="17">
        <f>MIN(1.25,J48+15%)</f>
        <v/>
      </c>
      <c r="P48" s="17">
        <f>J48</f>
        <v/>
      </c>
      <c r="Q48" s="17">
        <f>MIN(1.25,O48*P48/90%)</f>
        <v/>
      </c>
    </row>
    <row r="49">
      <c r="A49" s="13" t="n">
        <v>44</v>
      </c>
      <c r="B49" s="14" t="inlineStr">
        <is>
          <t>ZEESHAN IHSAN ULLAH</t>
        </is>
      </c>
      <c r="C49" s="14" t="inlineStr">
        <is>
          <t>DENTER</t>
        </is>
      </c>
      <c r="D49" s="14" t="inlineStr">
        <is>
          <t>TN0226</t>
        </is>
      </c>
      <c r="E49" s="13" t="n">
        <v>26</v>
      </c>
      <c r="F49" s="15">
        <f>E49*8</f>
        <v/>
      </c>
      <c r="G49" s="16" t="n">
        <v>1</v>
      </c>
      <c r="H49" s="15">
        <f>F49+G49</f>
        <v/>
      </c>
      <c r="I49" s="16" t="n">
        <v>192.02</v>
      </c>
      <c r="J49" s="17">
        <f>IFERROR(I49/H49,0)</f>
        <v/>
      </c>
      <c r="K49" s="17">
        <f>MAX(0,1-J49)</f>
        <v/>
      </c>
      <c r="L49" s="18" t="n">
        <v>16064.89</v>
      </c>
      <c r="M49" s="16" t="n">
        <v>192.02</v>
      </c>
      <c r="N49" s="15">
        <f>M49+E49*2</f>
        <v/>
      </c>
      <c r="O49" s="17">
        <f>MIN(1.25,J49+15%)</f>
        <v/>
      </c>
      <c r="P49" s="17">
        <f>J49</f>
        <v/>
      </c>
      <c r="Q49" s="17">
        <f>MIN(1.25,O49*P49/90%)</f>
        <v/>
      </c>
    </row>
    <row r="50">
      <c r="A50" s="13" t="n">
        <v>45</v>
      </c>
      <c r="B50" s="14" t="inlineStr">
        <is>
          <t>MIR EJAJ ALI</t>
        </is>
      </c>
      <c r="C50" s="14" t="inlineStr">
        <is>
          <t>PAINTER</t>
        </is>
      </c>
      <c r="D50" s="14" t="inlineStr">
        <is>
          <t>TN0227</t>
        </is>
      </c>
      <c r="E50" s="13" t="n">
        <v>18</v>
      </c>
      <c r="F50" s="15">
        <f>E50*8</f>
        <v/>
      </c>
      <c r="G50" s="16" t="n">
        <v>0</v>
      </c>
      <c r="H50" s="15">
        <f>F50+G50</f>
        <v/>
      </c>
      <c r="I50" s="16" t="n">
        <v>117.26</v>
      </c>
      <c r="J50" s="17">
        <f>IFERROR(I50/H50,0)</f>
        <v/>
      </c>
      <c r="K50" s="17">
        <f>MAX(0,1-J50)</f>
        <v/>
      </c>
      <c r="L50" s="18" t="n">
        <v>10120.41</v>
      </c>
      <c r="M50" s="16" t="n">
        <v>117.26</v>
      </c>
      <c r="N50" s="15">
        <f>M50+E50*2</f>
        <v/>
      </c>
      <c r="O50" s="17">
        <f>MIN(1.25,J50+15%)</f>
        <v/>
      </c>
      <c r="P50" s="17">
        <f>J50</f>
        <v/>
      </c>
      <c r="Q50" s="17">
        <f>MIN(1.25,O50*P50/90%)</f>
        <v/>
      </c>
    </row>
    <row r="51">
      <c r="A51" s="13" t="n">
        <v>46</v>
      </c>
      <c r="B51" s="14" t="inlineStr">
        <is>
          <t>SAMUEL</t>
        </is>
      </c>
      <c r="C51" s="14" t="inlineStr">
        <is>
          <t>MECHANIC</t>
        </is>
      </c>
      <c r="D51" s="14" t="inlineStr">
        <is>
          <t>TN0235</t>
        </is>
      </c>
      <c r="E51" s="13" t="n">
        <v>26</v>
      </c>
      <c r="F51" s="15">
        <f>E51*8</f>
        <v/>
      </c>
      <c r="G51" s="16" t="n">
        <v>0</v>
      </c>
      <c r="H51" s="15">
        <f>F51+G51</f>
        <v/>
      </c>
      <c r="I51" s="16" t="n">
        <v>159.34</v>
      </c>
      <c r="J51" s="17">
        <f>IFERROR(I51/H51,0)</f>
        <v/>
      </c>
      <c r="K51" s="17">
        <f>MAX(0,1-J51)</f>
        <v/>
      </c>
      <c r="L51" s="18" t="n">
        <v>13616.46</v>
      </c>
      <c r="M51" s="16" t="n">
        <v>159.34</v>
      </c>
      <c r="N51" s="15">
        <f>M51+E51*2</f>
        <v/>
      </c>
      <c r="O51" s="17">
        <f>MIN(1.25,J51+15%)</f>
        <v/>
      </c>
      <c r="P51" s="17">
        <f>J51</f>
        <v/>
      </c>
      <c r="Q51" s="17">
        <f>MIN(1.25,O51*P51/90%)</f>
        <v/>
      </c>
    </row>
    <row r="52">
      <c r="A52" s="13" t="n">
        <v>47</v>
      </c>
      <c r="B52" s="14" t="inlineStr">
        <is>
          <t>BILAL KHAN</t>
        </is>
      </c>
      <c r="C52" s="14" t="inlineStr">
        <is>
          <t>DENTER</t>
        </is>
      </c>
      <c r="D52" s="14" t="inlineStr">
        <is>
          <t>TN0236</t>
        </is>
      </c>
      <c r="E52" s="13" t="n">
        <v>26</v>
      </c>
      <c r="F52" s="15">
        <f>E52*8</f>
        <v/>
      </c>
      <c r="G52" s="16" t="n">
        <v>0</v>
      </c>
      <c r="H52" s="15">
        <f>F52+G52</f>
        <v/>
      </c>
      <c r="I52" s="16" t="n">
        <v>169.88</v>
      </c>
      <c r="J52" s="17">
        <f>IFERROR(I52/H52,0)</f>
        <v/>
      </c>
      <c r="K52" s="17">
        <f>MAX(0,1-J52)</f>
        <v/>
      </c>
      <c r="L52" s="18" t="n">
        <v>14154.06</v>
      </c>
      <c r="M52" s="16" t="n">
        <v>169.88</v>
      </c>
      <c r="N52" s="15">
        <f>M52+E52*2</f>
        <v/>
      </c>
      <c r="O52" s="17">
        <f>MIN(1.25,J52+15%)</f>
        <v/>
      </c>
      <c r="P52" s="17">
        <f>J52</f>
        <v/>
      </c>
      <c r="Q52" s="17">
        <f>MIN(1.25,O52*P52/90%)</f>
        <v/>
      </c>
    </row>
    <row r="53">
      <c r="A53" s="13" t="n">
        <v>48</v>
      </c>
      <c r="B53" s="14" t="inlineStr">
        <is>
          <t>Mohammad Habib Raza</t>
        </is>
      </c>
      <c r="C53" s="14" t="inlineStr">
        <is>
          <t>MECHANIC</t>
        </is>
      </c>
      <c r="D53" s="14" t="inlineStr">
        <is>
          <t>TN0238</t>
        </is>
      </c>
      <c r="E53" s="13" t="n">
        <v>26</v>
      </c>
      <c r="F53" s="15">
        <f>E53*8</f>
        <v/>
      </c>
      <c r="G53" s="16" t="n">
        <v>0</v>
      </c>
      <c r="H53" s="15">
        <f>F53+G53</f>
        <v/>
      </c>
      <c r="I53" s="16" t="n">
        <v>206.96</v>
      </c>
      <c r="J53" s="17">
        <f>IFERROR(I53/H53,0)</f>
        <v/>
      </c>
      <c r="K53" s="17">
        <f>MAX(0,1-J53)</f>
        <v/>
      </c>
      <c r="L53" s="18" t="n">
        <v>17561.47</v>
      </c>
      <c r="M53" s="16" t="n">
        <v>206.96</v>
      </c>
      <c r="N53" s="15">
        <f>M53+E53*2</f>
        <v/>
      </c>
      <c r="O53" s="17">
        <f>MIN(1.25,J53+15%)</f>
        <v/>
      </c>
      <c r="P53" s="17">
        <f>J53</f>
        <v/>
      </c>
      <c r="Q53" s="17">
        <f>MIN(1.25,O53*P53/90%)</f>
        <v/>
      </c>
    </row>
    <row r="54">
      <c r="A54" s="13" t="n">
        <v>49</v>
      </c>
      <c r="B54" s="14" t="inlineStr">
        <is>
          <t>HAMEED ANIYAMPARAMBIL</t>
        </is>
      </c>
      <c r="C54" s="14" t="inlineStr">
        <is>
          <t>MECHANIC</t>
        </is>
      </c>
      <c r="D54" s="14" t="inlineStr">
        <is>
          <t>TN0239</t>
        </is>
      </c>
      <c r="E54" s="13" t="n">
        <v>22</v>
      </c>
      <c r="F54" s="15">
        <f>E54*8</f>
        <v/>
      </c>
      <c r="G54" s="16" t="n">
        <v>4</v>
      </c>
      <c r="H54" s="15">
        <f>F54+G54</f>
        <v/>
      </c>
      <c r="I54" s="16" t="n">
        <v>116.61</v>
      </c>
      <c r="J54" s="17">
        <f>IFERROR(I54/H54,0)</f>
        <v/>
      </c>
      <c r="K54" s="17">
        <f>MAX(0,1-J54)</f>
        <v/>
      </c>
      <c r="L54" s="18" t="n">
        <v>10112.07</v>
      </c>
      <c r="M54" s="16" t="n">
        <v>116.61</v>
      </c>
      <c r="N54" s="15">
        <f>M54+E54*2</f>
        <v/>
      </c>
      <c r="O54" s="17">
        <f>MIN(1.25,J54+15%)</f>
        <v/>
      </c>
      <c r="P54" s="17">
        <f>J54</f>
        <v/>
      </c>
      <c r="Q54" s="17">
        <f>MIN(1.25,O54*P54/90%)</f>
        <v/>
      </c>
    </row>
    <row r="55">
      <c r="A55" s="13" t="n">
        <v>50</v>
      </c>
      <c r="B55" s="14" t="inlineStr">
        <is>
          <t>AMIR HUSSAIN MUHAMMED</t>
        </is>
      </c>
      <c r="C55" s="14" t="inlineStr">
        <is>
          <t>MECHANIC</t>
        </is>
      </c>
      <c r="D55" s="14" t="inlineStr">
        <is>
          <t>TN0241</t>
        </is>
      </c>
      <c r="E55" s="13" t="n">
        <v>25</v>
      </c>
      <c r="F55" s="15">
        <f>E55*8</f>
        <v/>
      </c>
      <c r="G55" s="16" t="n">
        <v>0</v>
      </c>
      <c r="H55" s="15">
        <f>F55+G55</f>
        <v/>
      </c>
      <c r="I55" s="16" t="n">
        <v>192.63</v>
      </c>
      <c r="J55" s="17">
        <f>IFERROR(I55/H55,0)</f>
        <v/>
      </c>
      <c r="K55" s="17">
        <f>MAX(0,1-J55)</f>
        <v/>
      </c>
      <c r="L55" s="18" t="n">
        <v>16260.74</v>
      </c>
      <c r="M55" s="16" t="n">
        <v>192.63</v>
      </c>
      <c r="N55" s="15">
        <f>M55+E55*2</f>
        <v/>
      </c>
      <c r="O55" s="17">
        <f>MIN(1.25,J55+15%)</f>
        <v/>
      </c>
      <c r="P55" s="17">
        <f>J55</f>
        <v/>
      </c>
      <c r="Q55" s="17">
        <f>MIN(1.25,O55*P55/90%)</f>
        <v/>
      </c>
    </row>
    <row r="56">
      <c r="A56" s="13" t="n">
        <v>51</v>
      </c>
      <c r="B56" s="14" t="inlineStr">
        <is>
          <t>LUBAB UDDIN</t>
        </is>
      </c>
      <c r="C56" s="14" t="inlineStr">
        <is>
          <t>DENTER</t>
        </is>
      </c>
      <c r="D56" s="14" t="inlineStr">
        <is>
          <t>TN0242</t>
        </is>
      </c>
      <c r="E56" s="13" t="n">
        <v>25</v>
      </c>
      <c r="F56" s="15">
        <f>E56*8</f>
        <v/>
      </c>
      <c r="G56" s="16" t="n">
        <v>2</v>
      </c>
      <c r="H56" s="15">
        <f>F56+G56</f>
        <v/>
      </c>
      <c r="I56" s="16" t="n">
        <v>143.77</v>
      </c>
      <c r="J56" s="17">
        <f>IFERROR(I56/H56,0)</f>
        <v/>
      </c>
      <c r="K56" s="17">
        <f>MAX(0,1-J56)</f>
        <v/>
      </c>
      <c r="L56" s="18" t="n">
        <v>11945.12</v>
      </c>
      <c r="M56" s="16" t="n">
        <v>143.77</v>
      </c>
      <c r="N56" s="15">
        <f>M56+E56*2</f>
        <v/>
      </c>
      <c r="O56" s="17">
        <f>MIN(1.25,J56+15%)</f>
        <v/>
      </c>
      <c r="P56" s="17">
        <f>J56</f>
        <v/>
      </c>
      <c r="Q56" s="17">
        <f>MIN(1.25,O56*P56/90%)</f>
        <v/>
      </c>
    </row>
    <row r="57">
      <c r="A57" s="13" t="n">
        <v>52</v>
      </c>
      <c r="B57" s="14" t="inlineStr">
        <is>
          <t>MOHAMMED ALI</t>
        </is>
      </c>
      <c r="C57" s="14" t="inlineStr">
        <is>
          <t>DENTER</t>
        </is>
      </c>
      <c r="D57" s="14" t="inlineStr">
        <is>
          <t>TN0244</t>
        </is>
      </c>
      <c r="E57" s="13" t="n">
        <v>24</v>
      </c>
      <c r="F57" s="15">
        <f>E57*8</f>
        <v/>
      </c>
      <c r="G57" s="16" t="n">
        <v>0</v>
      </c>
      <c r="H57" s="15">
        <f>F57+G57</f>
        <v/>
      </c>
      <c r="I57" s="16" t="n">
        <v>142.77</v>
      </c>
      <c r="J57" s="17">
        <f>IFERROR(I57/H57,0)</f>
        <v/>
      </c>
      <c r="K57" s="17">
        <f>MAX(0,1-J57)</f>
        <v/>
      </c>
      <c r="L57" s="18" t="n">
        <v>11882.12</v>
      </c>
      <c r="M57" s="16" t="n">
        <v>142.77</v>
      </c>
      <c r="N57" s="15">
        <f>M57+E57*2</f>
        <v/>
      </c>
      <c r="O57" s="17">
        <f>MIN(1.25,J57+15%)</f>
        <v/>
      </c>
      <c r="P57" s="17">
        <f>J57</f>
        <v/>
      </c>
      <c r="Q57" s="17">
        <f>MIN(1.25,O57*P57/90%)</f>
        <v/>
      </c>
    </row>
    <row r="58">
      <c r="A58" s="13" t="n">
        <v>53</v>
      </c>
      <c r="B58" s="14" t="inlineStr">
        <is>
          <t>MAHMOUD MOHAMED MAHDY</t>
        </is>
      </c>
      <c r="C58" s="14" t="inlineStr">
        <is>
          <t>DENTER</t>
        </is>
      </c>
      <c r="D58" s="14" t="inlineStr">
        <is>
          <t>TN0245</t>
        </is>
      </c>
      <c r="E58" s="13" t="n">
        <v>26</v>
      </c>
      <c r="F58" s="15">
        <f>E58*8</f>
        <v/>
      </c>
      <c r="G58" s="16" t="n">
        <v>1</v>
      </c>
      <c r="H58" s="15">
        <f>F58+G58</f>
        <v/>
      </c>
      <c r="I58" s="16" t="n">
        <v>161.69</v>
      </c>
      <c r="J58" s="17">
        <f>IFERROR(I58/H58,0)</f>
        <v/>
      </c>
      <c r="K58" s="17">
        <f>MAX(0,1-J58)</f>
        <v/>
      </c>
      <c r="L58" s="18" t="n">
        <v>13892.96</v>
      </c>
      <c r="M58" s="16" t="n">
        <v>161.69</v>
      </c>
      <c r="N58" s="15">
        <f>M58+E58*2</f>
        <v/>
      </c>
      <c r="O58" s="17">
        <f>MIN(1.25,J58+15%)</f>
        <v/>
      </c>
      <c r="P58" s="17">
        <f>J58</f>
        <v/>
      </c>
      <c r="Q58" s="17">
        <f>MIN(1.25,O58*P58/90%)</f>
        <v/>
      </c>
    </row>
    <row r="59">
      <c r="A59" s="13" t="n">
        <v>54</v>
      </c>
      <c r="B59" s="14" t="inlineStr">
        <is>
          <t>DIN DAYAL</t>
        </is>
      </c>
      <c r="C59" s="14" t="inlineStr">
        <is>
          <t>ELECTRICIAN</t>
        </is>
      </c>
      <c r="D59" s="14" t="inlineStr">
        <is>
          <t>TN0247</t>
        </is>
      </c>
      <c r="E59" s="13" t="n">
        <v>26</v>
      </c>
      <c r="F59" s="15">
        <f>E59*8</f>
        <v/>
      </c>
      <c r="G59" s="16" t="n">
        <v>0</v>
      </c>
      <c r="H59" s="15">
        <f>F59+G59</f>
        <v/>
      </c>
      <c r="I59" s="16" t="n">
        <v>103.61</v>
      </c>
      <c r="J59" s="17">
        <f>IFERROR(I59/H59,0)</f>
        <v/>
      </c>
      <c r="K59" s="17">
        <f>MAX(0,1-J59)</f>
        <v/>
      </c>
      <c r="L59" s="18" t="n">
        <v>8837.57</v>
      </c>
      <c r="M59" s="16" t="n">
        <v>103.61</v>
      </c>
      <c r="N59" s="15">
        <f>M59+E59*2</f>
        <v/>
      </c>
      <c r="O59" s="17">
        <f>MIN(1.25,J59+15%)</f>
        <v/>
      </c>
      <c r="P59" s="17">
        <f>J59</f>
        <v/>
      </c>
      <c r="Q59" s="17">
        <f>MIN(1.25,O59*P59/90%)</f>
        <v/>
      </c>
    </row>
    <row r="60">
      <c r="A60" s="13" t="n">
        <v>55</v>
      </c>
      <c r="B60" s="14" t="inlineStr">
        <is>
          <t>KAMAL HUSSAIN</t>
        </is>
      </c>
      <c r="C60" s="14" t="inlineStr">
        <is>
          <t>MECHANIC</t>
        </is>
      </c>
      <c r="D60" s="14" t="inlineStr">
        <is>
          <t>TN0248</t>
        </is>
      </c>
      <c r="E60" s="13" t="n">
        <v>24</v>
      </c>
      <c r="F60" s="15">
        <f>E60*8</f>
        <v/>
      </c>
      <c r="G60" s="16" t="n">
        <v>4</v>
      </c>
      <c r="H60" s="15">
        <f>F60+G60</f>
        <v/>
      </c>
      <c r="I60" s="16" t="n">
        <v>176.49</v>
      </c>
      <c r="J60" s="17">
        <f>IFERROR(I60/H60,0)</f>
        <v/>
      </c>
      <c r="K60" s="17">
        <f>MAX(0,1-J60)</f>
        <v/>
      </c>
      <c r="L60" s="18" t="n">
        <v>15012.99</v>
      </c>
      <c r="M60" s="16" t="n">
        <v>176.49</v>
      </c>
      <c r="N60" s="15">
        <f>M60+E60*2</f>
        <v/>
      </c>
      <c r="O60" s="17">
        <f>MIN(1.25,J60+15%)</f>
        <v/>
      </c>
      <c r="P60" s="17">
        <f>J60</f>
        <v/>
      </c>
      <c r="Q60" s="17">
        <f>MIN(1.25,O60*P60/90%)</f>
        <v/>
      </c>
    </row>
    <row r="61">
      <c r="A61" s="13" t="n">
        <v>56</v>
      </c>
      <c r="B61" s="14" t="inlineStr">
        <is>
          <t>RAIS MUHAMMAD KHAN YAR</t>
        </is>
      </c>
      <c r="C61" s="14" t="inlineStr">
        <is>
          <t>PAINTER</t>
        </is>
      </c>
      <c r="D61" s="14" t="inlineStr">
        <is>
          <t>TN0250</t>
        </is>
      </c>
      <c r="E61" s="13" t="n">
        <v>13</v>
      </c>
      <c r="F61" s="15">
        <f>E61*8</f>
        <v/>
      </c>
      <c r="G61" s="16" t="n">
        <v>1</v>
      </c>
      <c r="H61" s="15">
        <f>F61+G61</f>
        <v/>
      </c>
      <c r="I61" s="16" t="n">
        <v>69.15000000000001</v>
      </c>
      <c r="J61" s="17">
        <f>IFERROR(I61/H61,0)</f>
        <v/>
      </c>
      <c r="K61" s="17">
        <f>MAX(0,1-J61)</f>
        <v/>
      </c>
      <c r="L61" s="18" t="n">
        <v>5754.3</v>
      </c>
      <c r="M61" s="16" t="n">
        <v>69.15000000000001</v>
      </c>
      <c r="N61" s="15">
        <f>M61+E61*2</f>
        <v/>
      </c>
      <c r="O61" s="17">
        <f>MIN(1.25,J61+15%)</f>
        <v/>
      </c>
      <c r="P61" s="17">
        <f>J61</f>
        <v/>
      </c>
      <c r="Q61" s="17">
        <f>MIN(1.25,O61*P61/90%)</f>
        <v/>
      </c>
    </row>
    <row r="62">
      <c r="A62" s="13" t="n">
        <v>57</v>
      </c>
      <c r="B62" s="14" t="inlineStr">
        <is>
          <t>RAJEEVAN</t>
        </is>
      </c>
      <c r="C62" s="14" t="inlineStr">
        <is>
          <t>PAINTER</t>
        </is>
      </c>
      <c r="D62" s="14" t="inlineStr">
        <is>
          <t>TN0251</t>
        </is>
      </c>
      <c r="E62" s="13" t="n">
        <v>23</v>
      </c>
      <c r="F62" s="15">
        <f>E62*8</f>
        <v/>
      </c>
      <c r="G62" s="16" t="n">
        <v>2</v>
      </c>
      <c r="H62" s="15">
        <f>F62+G62</f>
        <v/>
      </c>
      <c r="I62" s="16" t="n">
        <v>164.87</v>
      </c>
      <c r="J62" s="17">
        <f>IFERROR(I62/H62,0)</f>
        <v/>
      </c>
      <c r="K62" s="17">
        <f>MAX(0,1-J62)</f>
        <v/>
      </c>
      <c r="L62" s="18" t="n">
        <v>14080.92</v>
      </c>
      <c r="M62" s="16" t="n">
        <v>164.87</v>
      </c>
      <c r="N62" s="15">
        <f>M62+E62*2</f>
        <v/>
      </c>
      <c r="O62" s="17">
        <f>MIN(1.25,J62+15%)</f>
        <v/>
      </c>
      <c r="P62" s="17">
        <f>J62</f>
        <v/>
      </c>
      <c r="Q62" s="17">
        <f>MIN(1.25,O62*P62/90%)</f>
        <v/>
      </c>
    </row>
    <row r="63">
      <c r="A63" s="13" t="n">
        <v>58</v>
      </c>
      <c r="B63" s="14" t="inlineStr">
        <is>
          <t>MOHAMMED NISAR BHURE</t>
        </is>
      </c>
      <c r="C63" s="14" t="inlineStr">
        <is>
          <t>MECHANIC</t>
        </is>
      </c>
      <c r="D63" s="14" t="inlineStr">
        <is>
          <t>TN0252</t>
        </is>
      </c>
      <c r="E63" s="13" t="n">
        <v>21</v>
      </c>
      <c r="F63" s="15">
        <f>E63*8</f>
        <v/>
      </c>
      <c r="G63" s="16" t="n">
        <v>0</v>
      </c>
      <c r="H63" s="15">
        <f>F63+G63</f>
        <v/>
      </c>
      <c r="I63" s="16" t="n">
        <v>97.72</v>
      </c>
      <c r="J63" s="17">
        <f>IFERROR(I63/H63,0)</f>
        <v/>
      </c>
      <c r="K63" s="17">
        <f>MAX(0,1-J63)</f>
        <v/>
      </c>
      <c r="L63" s="18" t="n">
        <v>8279.879999999999</v>
      </c>
      <c r="M63" s="16" t="n">
        <v>97.72</v>
      </c>
      <c r="N63" s="15">
        <f>M63+E63*2</f>
        <v/>
      </c>
      <c r="O63" s="17">
        <f>MIN(1.25,J63+15%)</f>
        <v/>
      </c>
      <c r="P63" s="17">
        <f>J63</f>
        <v/>
      </c>
      <c r="Q63" s="17">
        <f>MIN(1.25,O63*P63/90%)</f>
        <v/>
      </c>
    </row>
    <row r="64">
      <c r="A64" s="13" t="n">
        <v>59</v>
      </c>
      <c r="B64" s="14" t="inlineStr">
        <is>
          <t>MOHAMMED NISAR BHURE</t>
        </is>
      </c>
      <c r="C64" s="14" t="inlineStr">
        <is>
          <t>MECHANIC</t>
        </is>
      </c>
      <c r="D64" s="14" t="inlineStr">
        <is>
          <t>TN0252</t>
        </is>
      </c>
      <c r="E64" s="13" t="n">
        <v>2</v>
      </c>
      <c r="F64" s="15">
        <f>E64*8</f>
        <v/>
      </c>
      <c r="G64" s="16" t="n">
        <v>2</v>
      </c>
      <c r="H64" s="15">
        <f>F64+G64</f>
        <v/>
      </c>
      <c r="I64" s="16" t="n">
        <v>10.73</v>
      </c>
      <c r="J64" s="17">
        <f>IFERROR(I64/H64,0)</f>
        <v/>
      </c>
      <c r="K64" s="17">
        <f>MAX(0,1-J64)</f>
        <v/>
      </c>
      <c r="L64" s="18" t="n">
        <v>903.65</v>
      </c>
      <c r="M64" s="16" t="n">
        <v>10.73</v>
      </c>
      <c r="N64" s="15">
        <f>M64+E64*2</f>
        <v/>
      </c>
      <c r="O64" s="17">
        <f>MIN(1.25,J64+15%)</f>
        <v/>
      </c>
      <c r="P64" s="17">
        <f>J64</f>
        <v/>
      </c>
      <c r="Q64" s="17">
        <f>MIN(1.25,O64*P64/90%)</f>
        <v/>
      </c>
    </row>
    <row r="65">
      <c r="A65" s="13" t="n">
        <v>60</v>
      </c>
      <c r="B65" s="14" t="inlineStr">
        <is>
          <t>VINODKUMAR KIZHAKKEPURA</t>
        </is>
      </c>
      <c r="C65" s="14" t="inlineStr">
        <is>
          <t>MECHANIC</t>
        </is>
      </c>
      <c r="D65" s="14" t="inlineStr">
        <is>
          <t>TN0253</t>
        </is>
      </c>
      <c r="E65" s="13" t="n">
        <v>17</v>
      </c>
      <c r="F65" s="15">
        <f>E65*8</f>
        <v/>
      </c>
      <c r="G65" s="16" t="n">
        <v>0</v>
      </c>
      <c r="H65" s="15">
        <f>F65+G65</f>
        <v/>
      </c>
      <c r="I65" s="16" t="n">
        <v>73.23</v>
      </c>
      <c r="J65" s="17">
        <f>IFERROR(I65/H65,0)</f>
        <v/>
      </c>
      <c r="K65" s="17">
        <f>MAX(0,1-J65)</f>
        <v/>
      </c>
      <c r="L65" s="18" t="n">
        <v>6173.24</v>
      </c>
      <c r="M65" s="16" t="n">
        <v>73.23</v>
      </c>
      <c r="N65" s="15">
        <f>M65+E65*2</f>
        <v/>
      </c>
      <c r="O65" s="17">
        <f>MIN(1.25,J65+15%)</f>
        <v/>
      </c>
      <c r="P65" s="17">
        <f>J65</f>
        <v/>
      </c>
      <c r="Q65" s="17">
        <f>MIN(1.25,O65*P65/90%)</f>
        <v/>
      </c>
    </row>
    <row r="66">
      <c r="A66" s="13" t="n">
        <v>61</v>
      </c>
      <c r="B66" s="14" t="inlineStr">
        <is>
          <t>ABU BAKAR SIDDIQ TAJ MUHA</t>
        </is>
      </c>
      <c r="C66" s="14" t="inlineStr">
        <is>
          <t>PAINTER</t>
        </is>
      </c>
      <c r="D66" s="14" t="inlineStr">
        <is>
          <t>TN0254</t>
        </is>
      </c>
      <c r="E66" s="13" t="n">
        <v>20</v>
      </c>
      <c r="F66" s="15">
        <f>E66*8</f>
        <v/>
      </c>
      <c r="G66" s="16" t="n">
        <v>0</v>
      </c>
      <c r="H66" s="15">
        <f>F66+G66</f>
        <v/>
      </c>
      <c r="I66" s="16" t="n">
        <v>100.65</v>
      </c>
      <c r="J66" s="17">
        <f>IFERROR(I66/H66,0)</f>
        <v/>
      </c>
      <c r="K66" s="17">
        <f>MAX(0,1-J66)</f>
        <v/>
      </c>
      <c r="L66" s="18" t="n">
        <v>8679.370000000001</v>
      </c>
      <c r="M66" s="16" t="n">
        <v>100.65</v>
      </c>
      <c r="N66" s="15">
        <f>M66+E66*2</f>
        <v/>
      </c>
      <c r="O66" s="17">
        <f>MIN(1.25,J66+15%)</f>
        <v/>
      </c>
      <c r="P66" s="17">
        <f>J66</f>
        <v/>
      </c>
      <c r="Q66" s="17">
        <f>MIN(1.25,O66*P66/90%)</f>
        <v/>
      </c>
    </row>
    <row r="67">
      <c r="A67" s="13" t="n">
        <v>62</v>
      </c>
      <c r="B67" s="14" t="inlineStr">
        <is>
          <t>ABU BAKAR SIDDIQ TAJ MUHA</t>
        </is>
      </c>
      <c r="C67" s="14" t="inlineStr">
        <is>
          <t>PAINTER</t>
        </is>
      </c>
      <c r="D67" s="14" t="inlineStr">
        <is>
          <t>TN0254</t>
        </is>
      </c>
      <c r="E67" s="13" t="n">
        <v>3</v>
      </c>
      <c r="F67" s="15">
        <f>E67*8</f>
        <v/>
      </c>
      <c r="G67" s="16" t="n">
        <v>1</v>
      </c>
      <c r="H67" s="15">
        <f>F67+G67</f>
        <v/>
      </c>
      <c r="I67" s="16" t="n">
        <v>13.3</v>
      </c>
      <c r="J67" s="17">
        <f>IFERROR(I67/H67,0)</f>
        <v/>
      </c>
      <c r="K67" s="17">
        <f>MAX(0,1-J67)</f>
        <v/>
      </c>
      <c r="L67" s="18" t="n">
        <v>1134.96</v>
      </c>
      <c r="M67" s="16" t="n">
        <v>13.3</v>
      </c>
      <c r="N67" s="15">
        <f>M67+E67*2</f>
        <v/>
      </c>
      <c r="O67" s="17">
        <f>MIN(1.25,J67+15%)</f>
        <v/>
      </c>
      <c r="P67" s="17">
        <f>J67</f>
        <v/>
      </c>
      <c r="Q67" s="17">
        <f>MIN(1.25,O67*P67/90%)</f>
        <v/>
      </c>
    </row>
    <row r="68">
      <c r="A68" s="13" t="n">
        <v>63</v>
      </c>
      <c r="B68" s="14" t="inlineStr">
        <is>
          <t>SAMUEL OFORI</t>
        </is>
      </c>
      <c r="C68" s="14" t="inlineStr">
        <is>
          <t>MECHANIC</t>
        </is>
      </c>
      <c r="D68" s="14" t="inlineStr">
        <is>
          <t>TN0256</t>
        </is>
      </c>
      <c r="E68" s="13" t="n">
        <v>26</v>
      </c>
      <c r="F68" s="15">
        <f>E68*8</f>
        <v/>
      </c>
      <c r="G68" s="16" t="n">
        <v>1</v>
      </c>
      <c r="H68" s="15">
        <f>F68+G68</f>
        <v/>
      </c>
      <c r="I68" s="16" t="n">
        <v>150.83</v>
      </c>
      <c r="J68" s="17">
        <f>IFERROR(I68/H68,0)</f>
        <v/>
      </c>
      <c r="K68" s="17">
        <f>MAX(0,1-J68)</f>
        <v/>
      </c>
      <c r="L68" s="18" t="n">
        <v>13050.83</v>
      </c>
      <c r="M68" s="16" t="n">
        <v>150.83</v>
      </c>
      <c r="N68" s="15">
        <f>M68+E68*2</f>
        <v/>
      </c>
      <c r="O68" s="17">
        <f>MIN(1.25,J68+15%)</f>
        <v/>
      </c>
      <c r="P68" s="17">
        <f>J68</f>
        <v/>
      </c>
      <c r="Q68" s="17">
        <f>MIN(1.25,O68*P68/90%)</f>
        <v/>
      </c>
    </row>
    <row r="69">
      <c r="A69" s="13" t="n">
        <v>64</v>
      </c>
      <c r="B69" s="14" t="inlineStr">
        <is>
          <t>SHAJADA ALI SHAIKH</t>
        </is>
      </c>
      <c r="C69" s="14" t="inlineStr">
        <is>
          <t>MECHANIC</t>
        </is>
      </c>
      <c r="D69" s="14" t="inlineStr">
        <is>
          <t>TN0257</t>
        </is>
      </c>
      <c r="E69" s="13" t="n">
        <v>26</v>
      </c>
      <c r="F69" s="15">
        <f>E69*8</f>
        <v/>
      </c>
      <c r="G69" s="16" t="n">
        <v>0</v>
      </c>
      <c r="H69" s="15">
        <f>F69+G69</f>
        <v/>
      </c>
      <c r="I69" s="16" t="n">
        <v>187.26</v>
      </c>
      <c r="J69" s="17">
        <f>IFERROR(I69/H69,0)</f>
        <v/>
      </c>
      <c r="K69" s="17">
        <f>MAX(0,1-J69)</f>
        <v/>
      </c>
      <c r="L69" s="18" t="n">
        <v>16247.53</v>
      </c>
      <c r="M69" s="16" t="n">
        <v>187.26</v>
      </c>
      <c r="N69" s="15">
        <f>M69+E69*2</f>
        <v/>
      </c>
      <c r="O69" s="17">
        <f>MIN(1.25,J69+15%)</f>
        <v/>
      </c>
      <c r="P69" s="17">
        <f>J69</f>
        <v/>
      </c>
      <c r="Q69" s="17">
        <f>MIN(1.25,O69*P69/90%)</f>
        <v/>
      </c>
    </row>
    <row r="70">
      <c r="A70" s="13" t="n">
        <v>65</v>
      </c>
      <c r="B70" s="14" t="inlineStr">
        <is>
          <t>ABDULLAH NABEEL BUTT MAN</t>
        </is>
      </c>
      <c r="C70" s="14" t="inlineStr">
        <is>
          <t>ELECTRICIAN</t>
        </is>
      </c>
      <c r="D70" s="14" t="inlineStr">
        <is>
          <t>TN0258</t>
        </is>
      </c>
      <c r="E70" s="13" t="n">
        <v>26</v>
      </c>
      <c r="F70" s="15">
        <f>E70*8</f>
        <v/>
      </c>
      <c r="G70" s="16" t="n">
        <v>2</v>
      </c>
      <c r="H70" s="15">
        <f>F70+G70</f>
        <v/>
      </c>
      <c r="I70" s="16" t="n">
        <v>116.87</v>
      </c>
      <c r="J70" s="17">
        <f>IFERROR(I70/H70,0)</f>
        <v/>
      </c>
      <c r="K70" s="17">
        <f>MAX(0,1-J70)</f>
        <v/>
      </c>
      <c r="L70" s="18" t="n">
        <v>10102.49</v>
      </c>
      <c r="M70" s="16" t="n">
        <v>116.87</v>
      </c>
      <c r="N70" s="15">
        <f>M70+E70*2</f>
        <v/>
      </c>
      <c r="O70" s="17">
        <f>MIN(1.25,J70+15%)</f>
        <v/>
      </c>
      <c r="P70" s="17">
        <f>J70</f>
        <v/>
      </c>
      <c r="Q70" s="17">
        <f>MIN(1.25,O70*P70/90%)</f>
        <v/>
      </c>
    </row>
    <row r="71">
      <c r="A71" s="13" t="n">
        <v>66</v>
      </c>
      <c r="B71" s="14" t="inlineStr">
        <is>
          <t>MOHAMMED AWAIS ASGHAR</t>
        </is>
      </c>
      <c r="C71" s="14" t="inlineStr">
        <is>
          <t>ELECTRICIAN</t>
        </is>
      </c>
      <c r="D71" s="14" t="inlineStr">
        <is>
          <t>TN0259</t>
        </is>
      </c>
      <c r="E71" s="13" t="n">
        <v>23</v>
      </c>
      <c r="F71" s="15">
        <f>E71*8</f>
        <v/>
      </c>
      <c r="G71" s="16" t="n">
        <v>1</v>
      </c>
      <c r="H71" s="15">
        <f>F71+G71</f>
        <v/>
      </c>
      <c r="I71" s="16" t="n">
        <v>141.59</v>
      </c>
      <c r="J71" s="17">
        <f>IFERROR(I71/H71,0)</f>
        <v/>
      </c>
      <c r="K71" s="17">
        <f>MAX(0,1-J71)</f>
        <v/>
      </c>
      <c r="L71" s="18" t="n">
        <v>12314.37</v>
      </c>
      <c r="M71" s="16" t="n">
        <v>141.59</v>
      </c>
      <c r="N71" s="15">
        <f>M71+E71*2</f>
        <v/>
      </c>
      <c r="O71" s="17">
        <f>MIN(1.25,J71+15%)</f>
        <v/>
      </c>
      <c r="P71" s="17">
        <f>J71</f>
        <v/>
      </c>
      <c r="Q71" s="17">
        <f>MIN(1.25,O71*P71/90%)</f>
        <v/>
      </c>
    </row>
    <row r="72">
      <c r="A72" s="13" t="n">
        <v>67</v>
      </c>
      <c r="B72" s="14" t="inlineStr">
        <is>
          <t>ANIS ALI MIR MIR IBRAB ALI</t>
        </is>
      </c>
      <c r="C72" s="14" t="inlineStr">
        <is>
          <t>MECHANIC</t>
        </is>
      </c>
      <c r="D72" s="14" t="inlineStr">
        <is>
          <t>TN0261</t>
        </is>
      </c>
      <c r="E72" s="13" t="n">
        <v>25</v>
      </c>
      <c r="F72" s="15">
        <f>E72*8</f>
        <v/>
      </c>
      <c r="G72" s="16" t="n">
        <v>0</v>
      </c>
      <c r="H72" s="15">
        <f>F72+G72</f>
        <v/>
      </c>
      <c r="I72" s="16" t="n">
        <v>143.76</v>
      </c>
      <c r="J72" s="17">
        <f>IFERROR(I72/H72,0)</f>
        <v/>
      </c>
      <c r="K72" s="17">
        <f>MAX(0,1-J72)</f>
        <v/>
      </c>
      <c r="L72" s="18" t="n">
        <v>12364.66</v>
      </c>
      <c r="M72" s="16" t="n">
        <v>143.76</v>
      </c>
      <c r="N72" s="15">
        <f>M72+E72*2</f>
        <v/>
      </c>
      <c r="O72" s="17">
        <f>MIN(1.25,J72+15%)</f>
        <v/>
      </c>
      <c r="P72" s="17">
        <f>J72</f>
        <v/>
      </c>
      <c r="Q72" s="17">
        <f>MIN(1.25,O72*P72/90%)</f>
        <v/>
      </c>
    </row>
    <row r="73">
      <c r="A73" s="13" t="n">
        <v>68</v>
      </c>
      <c r="B73" s="14" t="inlineStr">
        <is>
          <t>SABIR ALI MUHAMMAD ALI</t>
        </is>
      </c>
      <c r="C73" s="14" t="inlineStr">
        <is>
          <t>PAINTER</t>
        </is>
      </c>
      <c r="D73" s="14" t="inlineStr">
        <is>
          <t>TN0265</t>
        </is>
      </c>
      <c r="E73" s="13" t="n">
        <v>24</v>
      </c>
      <c r="F73" s="15">
        <f>E73*8</f>
        <v/>
      </c>
      <c r="G73" s="16" t="n">
        <v>0</v>
      </c>
      <c r="H73" s="15">
        <f>F73+G73</f>
        <v/>
      </c>
      <c r="I73" s="16" t="n">
        <v>147.47</v>
      </c>
      <c r="J73" s="17">
        <f>IFERROR(I73/H73,0)</f>
        <v/>
      </c>
      <c r="K73" s="17">
        <f>MAX(0,1-J73)</f>
        <v/>
      </c>
      <c r="L73" s="18" t="n">
        <v>12469.67</v>
      </c>
      <c r="M73" s="16" t="n">
        <v>147.47</v>
      </c>
      <c r="N73" s="15">
        <f>M73+E73*2</f>
        <v/>
      </c>
      <c r="O73" s="17">
        <f>MIN(1.25,J73+15%)</f>
        <v/>
      </c>
      <c r="P73" s="17">
        <f>J73</f>
        <v/>
      </c>
      <c r="Q73" s="17">
        <f>MIN(1.25,O73*P73/90%)</f>
        <v/>
      </c>
    </row>
    <row r="74">
      <c r="A74" s="13" t="n">
        <v>69</v>
      </c>
      <c r="B74" s="14" t="inlineStr">
        <is>
          <t>ARISTOTE TSOPKENG LEWEPO</t>
        </is>
      </c>
      <c r="C74" s="14" t="inlineStr">
        <is>
          <t>MECHANIC</t>
        </is>
      </c>
      <c r="D74" s="14" t="inlineStr">
        <is>
          <t>TN0266</t>
        </is>
      </c>
      <c r="E74" s="13" t="n">
        <v>23</v>
      </c>
      <c r="F74" s="15">
        <f>E74*8</f>
        <v/>
      </c>
      <c r="G74" s="16" t="n">
        <v>2</v>
      </c>
      <c r="H74" s="15">
        <f>F74+G74</f>
        <v/>
      </c>
      <c r="I74" s="16" t="n">
        <v>133.01</v>
      </c>
      <c r="J74" s="17">
        <f>IFERROR(I74/H74,0)</f>
        <v/>
      </c>
      <c r="K74" s="17">
        <f>MAX(0,1-J74)</f>
        <v/>
      </c>
      <c r="L74" s="18" t="n">
        <v>11500.15</v>
      </c>
      <c r="M74" s="16" t="n">
        <v>133.01</v>
      </c>
      <c r="N74" s="15">
        <f>M74+E74*2</f>
        <v/>
      </c>
      <c r="O74" s="17">
        <f>MIN(1.25,J74+15%)</f>
        <v/>
      </c>
      <c r="P74" s="17">
        <f>J74</f>
        <v/>
      </c>
      <c r="Q74" s="17">
        <f>MIN(1.25,O74*P74/90%)</f>
        <v/>
      </c>
    </row>
    <row r="75">
      <c r="A75" s="13" t="n">
        <v>70</v>
      </c>
      <c r="B75" s="14" t="inlineStr">
        <is>
          <t>ALAM ZEB KHAN</t>
        </is>
      </c>
      <c r="C75" s="14" t="inlineStr">
        <is>
          <t>MECHANIC</t>
        </is>
      </c>
      <c r="D75" s="14" t="inlineStr">
        <is>
          <t>TN0268</t>
        </is>
      </c>
      <c r="E75" s="13" t="n">
        <v>26</v>
      </c>
      <c r="F75" s="15">
        <f>E75*8</f>
        <v/>
      </c>
      <c r="G75" s="16" t="n">
        <v>2</v>
      </c>
      <c r="H75" s="15">
        <f>F75+G75</f>
        <v/>
      </c>
      <c r="I75" s="16" t="n">
        <v>106.27</v>
      </c>
      <c r="J75" s="17">
        <f>IFERROR(I75/H75,0)</f>
        <v/>
      </c>
      <c r="K75" s="17">
        <f>MAX(0,1-J75)</f>
        <v/>
      </c>
      <c r="L75" s="18" t="n">
        <v>8917.93</v>
      </c>
      <c r="M75" s="16" t="n">
        <v>106.27</v>
      </c>
      <c r="N75" s="15">
        <f>M75+E75*2</f>
        <v/>
      </c>
      <c r="O75" s="17">
        <f>MIN(1.25,J75+15%)</f>
        <v/>
      </c>
      <c r="P75" s="17">
        <f>J75</f>
        <v/>
      </c>
      <c r="Q75" s="17">
        <f>MIN(1.25,O75*P75/90%)</f>
        <v/>
      </c>
    </row>
    <row r="76">
      <c r="A76" s="13" t="n">
        <v>71</v>
      </c>
      <c r="B76" s="14" t="inlineStr">
        <is>
          <t>Abdulla shekh</t>
        </is>
      </c>
      <c r="C76" s="14" t="inlineStr">
        <is>
          <t>PAINTER</t>
        </is>
      </c>
      <c r="D76" s="14" t="inlineStr">
        <is>
          <t>TN0269</t>
        </is>
      </c>
      <c r="E76" s="13" t="n">
        <v>26</v>
      </c>
      <c r="F76" s="15">
        <f>E76*8</f>
        <v/>
      </c>
      <c r="G76" s="16" t="n">
        <v>1</v>
      </c>
      <c r="H76" s="15">
        <f>F76+G76</f>
        <v/>
      </c>
      <c r="I76" s="16" t="n">
        <v>180.32</v>
      </c>
      <c r="J76" s="17">
        <f>IFERROR(I76/H76,0)</f>
        <v/>
      </c>
      <c r="K76" s="17">
        <f>MAX(0,1-J76)</f>
        <v/>
      </c>
      <c r="L76" s="18" t="n">
        <v>15558.46</v>
      </c>
      <c r="M76" s="16" t="n">
        <v>180.32</v>
      </c>
      <c r="N76" s="15">
        <f>M76+E76*2</f>
        <v/>
      </c>
      <c r="O76" s="17">
        <f>MIN(1.25,J76+15%)</f>
        <v/>
      </c>
      <c r="P76" s="17">
        <f>J76</f>
        <v/>
      </c>
      <c r="Q76" s="17">
        <f>MIN(1.25,O76*P76/90%)</f>
        <v/>
      </c>
    </row>
    <row r="77">
      <c r="A77" s="13" t="n">
        <v>72</v>
      </c>
      <c r="B77" s="14" t="inlineStr">
        <is>
          <t>Abdel Rahman</t>
        </is>
      </c>
      <c r="C77" s="14" t="inlineStr">
        <is>
          <t>PAINTER</t>
        </is>
      </c>
      <c r="D77" s="14" t="inlineStr">
        <is>
          <t>TN0270</t>
        </is>
      </c>
      <c r="E77" s="13" t="n">
        <v>25</v>
      </c>
      <c r="F77" s="15">
        <f>E77*8</f>
        <v/>
      </c>
      <c r="G77" s="16" t="n">
        <v>2</v>
      </c>
      <c r="H77" s="15">
        <f>F77+G77</f>
        <v/>
      </c>
      <c r="I77" s="16" t="n">
        <v>161.93</v>
      </c>
      <c r="J77" s="17">
        <f>IFERROR(I77/H77,0)</f>
        <v/>
      </c>
      <c r="K77" s="17">
        <f>MAX(0,1-J77)</f>
        <v/>
      </c>
      <c r="L77" s="18" t="n">
        <v>13730.41</v>
      </c>
      <c r="M77" s="16" t="n">
        <v>161.93</v>
      </c>
      <c r="N77" s="15">
        <f>M77+E77*2</f>
        <v/>
      </c>
      <c r="O77" s="17">
        <f>MIN(1.25,J77+15%)</f>
        <v/>
      </c>
      <c r="P77" s="17">
        <f>J77</f>
        <v/>
      </c>
      <c r="Q77" s="17">
        <f>MIN(1.25,O77*P77/90%)</f>
        <v/>
      </c>
    </row>
    <row r="78">
      <c r="A78" s="13" t="n">
        <v>73</v>
      </c>
      <c r="B78" s="14" t="inlineStr">
        <is>
          <t>RENJITH RADHAKRISHNAN NA</t>
        </is>
      </c>
      <c r="C78" s="14" t="inlineStr">
        <is>
          <t>PAINTER</t>
        </is>
      </c>
      <c r="D78" s="14" t="inlineStr">
        <is>
          <t>TN0272</t>
        </is>
      </c>
      <c r="E78" s="13" t="n">
        <v>12</v>
      </c>
      <c r="F78" s="15">
        <f>E78*8</f>
        <v/>
      </c>
      <c r="G78" s="16" t="n">
        <v>1</v>
      </c>
      <c r="H78" s="15">
        <f>F78+G78</f>
        <v/>
      </c>
      <c r="I78" s="16" t="n">
        <v>70.33</v>
      </c>
      <c r="J78" s="17">
        <f>IFERROR(I78/H78,0)</f>
        <v/>
      </c>
      <c r="K78" s="17">
        <f>MAX(0,1-J78)</f>
        <v/>
      </c>
      <c r="L78" s="18" t="n">
        <v>5878.12</v>
      </c>
      <c r="M78" s="16" t="n">
        <v>70.33</v>
      </c>
      <c r="N78" s="15">
        <f>M78+E78*2</f>
        <v/>
      </c>
      <c r="O78" s="17">
        <f>MIN(1.25,J78+15%)</f>
        <v/>
      </c>
      <c r="P78" s="17">
        <f>J78</f>
        <v/>
      </c>
      <c r="Q78" s="17">
        <f>MIN(1.25,O78*P78/90%)</f>
        <v/>
      </c>
    </row>
    <row r="79">
      <c r="A79" s="13" t="n">
        <v>74</v>
      </c>
      <c r="B79" s="14" t="inlineStr">
        <is>
          <t>RENJITH RADHAKRISHNAN NA</t>
        </is>
      </c>
      <c r="C79" s="14" t="inlineStr">
        <is>
          <t>PAINTER</t>
        </is>
      </c>
      <c r="D79" s="14" t="inlineStr">
        <is>
          <t>TN0272</t>
        </is>
      </c>
      <c r="E79" s="13" t="n">
        <v>9</v>
      </c>
      <c r="F79" s="15">
        <f>E79*8</f>
        <v/>
      </c>
      <c r="G79" s="16" t="n">
        <v>1</v>
      </c>
      <c r="H79" s="15">
        <f>F79+G79</f>
        <v/>
      </c>
      <c r="I79" s="16" t="n">
        <v>56.42</v>
      </c>
      <c r="J79" s="17">
        <f>IFERROR(I79/H79,0)</f>
        <v/>
      </c>
      <c r="K79" s="17">
        <f>MAX(0,1-J79)</f>
        <v/>
      </c>
      <c r="L79" s="18" t="n">
        <v>4893.53</v>
      </c>
      <c r="M79" s="16" t="n">
        <v>56.42</v>
      </c>
      <c r="N79" s="15">
        <f>M79+E79*2</f>
        <v/>
      </c>
      <c r="O79" s="17">
        <f>MIN(1.25,J79+15%)</f>
        <v/>
      </c>
      <c r="P79" s="17">
        <f>J79</f>
        <v/>
      </c>
      <c r="Q79" s="17">
        <f>MIN(1.25,O79*P79/90%)</f>
        <v/>
      </c>
    </row>
    <row r="80">
      <c r="A80" s="13" t="n">
        <v>75</v>
      </c>
      <c r="B80" s="14" t="inlineStr">
        <is>
          <t>AHID SHAIKH SHAIKH</t>
        </is>
      </c>
      <c r="C80" s="14" t="inlineStr">
        <is>
          <t>PAINTER</t>
        </is>
      </c>
      <c r="D80" s="14" t="inlineStr">
        <is>
          <t>TN0273</t>
        </is>
      </c>
      <c r="E80" s="13" t="n">
        <v>21</v>
      </c>
      <c r="F80" s="15">
        <f>E80*8</f>
        <v/>
      </c>
      <c r="G80" s="16" t="n">
        <v>0</v>
      </c>
      <c r="H80" s="15">
        <f>F80+G80</f>
        <v/>
      </c>
      <c r="I80" s="16" t="n">
        <v>122.75</v>
      </c>
      <c r="J80" s="17">
        <f>IFERROR(I80/H80,0)</f>
        <v/>
      </c>
      <c r="K80" s="17">
        <f>MAX(0,1-J80)</f>
        <v/>
      </c>
      <c r="L80" s="18" t="n">
        <v>10530.57</v>
      </c>
      <c r="M80" s="16" t="n">
        <v>122.75</v>
      </c>
      <c r="N80" s="15">
        <f>M80+E80*2</f>
        <v/>
      </c>
      <c r="O80" s="17">
        <f>MIN(1.25,J80+15%)</f>
        <v/>
      </c>
      <c r="P80" s="17">
        <f>J80</f>
        <v/>
      </c>
      <c r="Q80" s="17">
        <f>MIN(1.25,O80*P80/90%)</f>
        <v/>
      </c>
    </row>
    <row r="81">
      <c r="A81" s="13" t="n">
        <v>76</v>
      </c>
      <c r="B81" s="14" t="inlineStr">
        <is>
          <t>IBRAHIM KHAN</t>
        </is>
      </c>
      <c r="C81" s="14" t="inlineStr">
        <is>
          <t>DENTER</t>
        </is>
      </c>
      <c r="D81" s="14" t="inlineStr">
        <is>
          <t>TN0274</t>
        </is>
      </c>
      <c r="E81" s="13" t="n">
        <v>20</v>
      </c>
      <c r="F81" s="15">
        <f>E81*8</f>
        <v/>
      </c>
      <c r="G81" s="16" t="n">
        <v>0</v>
      </c>
      <c r="H81" s="15">
        <f>F81+G81</f>
        <v/>
      </c>
      <c r="I81" s="16" t="n">
        <v>117.27</v>
      </c>
      <c r="J81" s="17">
        <f>IFERROR(I81/H81,0)</f>
        <v/>
      </c>
      <c r="K81" s="17">
        <f>MAX(0,1-J81)</f>
        <v/>
      </c>
      <c r="L81" s="18" t="n">
        <v>9776.530000000001</v>
      </c>
      <c r="M81" s="16" t="n">
        <v>117.27</v>
      </c>
      <c r="N81" s="15">
        <f>M81+E81*2</f>
        <v/>
      </c>
      <c r="O81" s="17">
        <f>MIN(1.25,J81+15%)</f>
        <v/>
      </c>
      <c r="P81" s="17">
        <f>J81</f>
        <v/>
      </c>
      <c r="Q81" s="17">
        <f>MIN(1.25,O81*P81/90%)</f>
        <v/>
      </c>
    </row>
    <row r="82">
      <c r="A82" s="13" t="n">
        <v>77</v>
      </c>
      <c r="B82" s="14" t="inlineStr">
        <is>
          <t>MUHAMMED SUFIAN QURESHI</t>
        </is>
      </c>
      <c r="C82" s="14" t="inlineStr">
        <is>
          <t>DENTER</t>
        </is>
      </c>
      <c r="D82" s="14" t="inlineStr">
        <is>
          <t>TN0275</t>
        </is>
      </c>
      <c r="E82" s="13" t="n">
        <v>25</v>
      </c>
      <c r="F82" s="15">
        <f>E82*8</f>
        <v/>
      </c>
      <c r="G82" s="16" t="n">
        <v>4</v>
      </c>
      <c r="H82" s="15">
        <f>F82+G82</f>
        <v/>
      </c>
      <c r="I82" s="16" t="n">
        <v>153.67</v>
      </c>
      <c r="J82" s="17">
        <f>IFERROR(I82/H82,0)</f>
        <v/>
      </c>
      <c r="K82" s="17">
        <f>MAX(0,1-J82)</f>
        <v/>
      </c>
      <c r="L82" s="18" t="n">
        <v>13351.23</v>
      </c>
      <c r="M82" s="16" t="n">
        <v>153.67</v>
      </c>
      <c r="N82" s="15">
        <f>M82+E82*2</f>
        <v/>
      </c>
      <c r="O82" s="17">
        <f>MIN(1.25,J82+15%)</f>
        <v/>
      </c>
      <c r="P82" s="17">
        <f>J82</f>
        <v/>
      </c>
      <c r="Q82" s="17">
        <f>MIN(1.25,O82*P82/90%)</f>
        <v/>
      </c>
    </row>
    <row r="83">
      <c r="A83" s="13" t="n">
        <v>78</v>
      </c>
      <c r="B83" s="14" t="inlineStr">
        <is>
          <t>RAGHU</t>
        </is>
      </c>
      <c r="C83" s="14" t="inlineStr">
        <is>
          <t>ELECTRICIAN</t>
        </is>
      </c>
      <c r="D83" s="14" t="inlineStr">
        <is>
          <t>TN0276</t>
        </is>
      </c>
      <c r="E83" s="13" t="n">
        <v>26</v>
      </c>
      <c r="F83" s="15">
        <f>E83*8</f>
        <v/>
      </c>
      <c r="G83" s="16" t="n">
        <v>0</v>
      </c>
      <c r="H83" s="15">
        <f>F83+G83</f>
        <v/>
      </c>
      <c r="I83" s="16" t="n">
        <v>150.38</v>
      </c>
      <c r="J83" s="17">
        <f>IFERROR(I83/H83,0)</f>
        <v/>
      </c>
      <c r="K83" s="17">
        <f>MAX(0,1-J83)</f>
        <v/>
      </c>
      <c r="L83" s="18" t="n">
        <v>12976.05</v>
      </c>
      <c r="M83" s="16" t="n">
        <v>150.38</v>
      </c>
      <c r="N83" s="15">
        <f>M83+E83*2</f>
        <v/>
      </c>
      <c r="O83" s="17">
        <f>MIN(1.25,J83+15%)</f>
        <v/>
      </c>
      <c r="P83" s="17">
        <f>J83</f>
        <v/>
      </c>
      <c r="Q83" s="17">
        <f>MIN(1.25,O83*P83/90%)</f>
        <v/>
      </c>
    </row>
    <row r="84">
      <c r="A84" s="13" t="n">
        <v>79</v>
      </c>
      <c r="B84" s="14" t="inlineStr">
        <is>
          <t>MAHAFUJ ALI MOHAMMAD</t>
        </is>
      </c>
      <c r="C84" s="14" t="inlineStr">
        <is>
          <t>PAINTER</t>
        </is>
      </c>
      <c r="D84" s="14" t="inlineStr">
        <is>
          <t>TN0277</t>
        </is>
      </c>
      <c r="E84" s="13" t="n">
        <v>26</v>
      </c>
      <c r="F84" s="15">
        <f>E84*8</f>
        <v/>
      </c>
      <c r="G84" s="16" t="n">
        <v>0</v>
      </c>
      <c r="H84" s="15">
        <f>F84+G84</f>
        <v/>
      </c>
      <c r="I84" s="16" t="n">
        <v>154.1</v>
      </c>
      <c r="J84" s="17">
        <f>IFERROR(I84/H84,0)</f>
        <v/>
      </c>
      <c r="K84" s="17">
        <f>MAX(0,1-J84)</f>
        <v/>
      </c>
      <c r="L84" s="18" t="n">
        <v>13362.19</v>
      </c>
      <c r="M84" s="16" t="n">
        <v>154.1</v>
      </c>
      <c r="N84" s="15">
        <f>M84+E84*2</f>
        <v/>
      </c>
      <c r="O84" s="17">
        <f>MIN(1.25,J84+15%)</f>
        <v/>
      </c>
      <c r="P84" s="17">
        <f>J84</f>
        <v/>
      </c>
      <c r="Q84" s="17">
        <f>MIN(1.25,O84*P84/90%)</f>
        <v/>
      </c>
    </row>
    <row r="85">
      <c r="A85" s="13" t="n">
        <v>80</v>
      </c>
      <c r="B85" s="14" t="inlineStr">
        <is>
          <t>SK MAKSOOD</t>
        </is>
      </c>
      <c r="C85" s="14" t="inlineStr">
        <is>
          <t>PAINTER</t>
        </is>
      </c>
      <c r="D85" s="14" t="inlineStr">
        <is>
          <t>TN0280</t>
        </is>
      </c>
      <c r="E85" s="13" t="n">
        <v>23</v>
      </c>
      <c r="F85" s="15">
        <f>E85*8</f>
        <v/>
      </c>
      <c r="G85" s="16" t="n">
        <v>0</v>
      </c>
      <c r="H85" s="15">
        <f>F85+G85</f>
        <v/>
      </c>
      <c r="I85" s="16" t="n">
        <v>155.48</v>
      </c>
      <c r="J85" s="17">
        <f>IFERROR(I85/H85,0)</f>
        <v/>
      </c>
      <c r="K85" s="17">
        <f>MAX(0,1-J85)</f>
        <v/>
      </c>
      <c r="L85" s="18" t="n">
        <v>13470.42</v>
      </c>
      <c r="M85" s="16" t="n">
        <v>155.48</v>
      </c>
      <c r="N85" s="15">
        <f>M85+E85*2</f>
        <v/>
      </c>
      <c r="O85" s="17">
        <f>MIN(1.25,J85+15%)</f>
        <v/>
      </c>
      <c r="P85" s="17">
        <f>J85</f>
        <v/>
      </c>
      <c r="Q85" s="17">
        <f>MIN(1.25,O85*P85/90%)</f>
        <v/>
      </c>
    </row>
    <row r="86">
      <c r="A86" s="13" t="n">
        <v>81</v>
      </c>
      <c r="B86" s="14" t="inlineStr">
        <is>
          <t>umar sadiq abdur rahman</t>
        </is>
      </c>
      <c r="C86" s="14" t="inlineStr">
        <is>
          <t>DENTER</t>
        </is>
      </c>
      <c r="D86" s="14" t="inlineStr">
        <is>
          <t>TN0281</t>
        </is>
      </c>
      <c r="E86" s="13" t="n">
        <v>25</v>
      </c>
      <c r="F86" s="15">
        <f>E86*8</f>
        <v/>
      </c>
      <c r="G86" s="16" t="n">
        <v>0</v>
      </c>
      <c r="H86" s="15">
        <f>F86+G86</f>
        <v/>
      </c>
      <c r="I86" s="16" t="n">
        <v>189.3</v>
      </c>
      <c r="J86" s="17">
        <f>IFERROR(I86/H86,0)</f>
        <v/>
      </c>
      <c r="K86" s="17">
        <f>MAX(0,1-J86)</f>
        <v/>
      </c>
      <c r="L86" s="18" t="n">
        <v>16400.98</v>
      </c>
      <c r="M86" s="16" t="n">
        <v>189.3</v>
      </c>
      <c r="N86" s="15">
        <f>M86+E86*2</f>
        <v/>
      </c>
      <c r="O86" s="17">
        <f>MIN(1.25,J86+15%)</f>
        <v/>
      </c>
      <c r="P86" s="17">
        <f>J86</f>
        <v/>
      </c>
      <c r="Q86" s="17">
        <f>MIN(1.25,O86*P86/90%)</f>
        <v/>
      </c>
    </row>
    <row r="87">
      <c r="A87" s="13" t="n">
        <v>82</v>
      </c>
      <c r="B87" s="14" t="inlineStr">
        <is>
          <t>DHANESH E. DEVADAS</t>
        </is>
      </c>
      <c r="C87" s="14" t="inlineStr">
        <is>
          <t>MECHANIC</t>
        </is>
      </c>
      <c r="D87" s="14" t="inlineStr">
        <is>
          <t>TN0283</t>
        </is>
      </c>
      <c r="E87" s="13" t="n">
        <v>22</v>
      </c>
      <c r="F87" s="15">
        <f>E87*8</f>
        <v/>
      </c>
      <c r="G87" s="16" t="n">
        <v>0</v>
      </c>
      <c r="H87" s="15">
        <f>F87+G87</f>
        <v/>
      </c>
      <c r="I87" s="16" t="n">
        <v>52.66</v>
      </c>
      <c r="J87" s="17">
        <f>IFERROR(I87/H87,0)</f>
        <v/>
      </c>
      <c r="K87" s="17">
        <f>MAX(0,1-J87)</f>
        <v/>
      </c>
      <c r="L87" s="18" t="n">
        <v>4431.66</v>
      </c>
      <c r="M87" s="16" t="n">
        <v>52.66</v>
      </c>
      <c r="N87" s="15">
        <f>M87+E87*2</f>
        <v/>
      </c>
      <c r="O87" s="17">
        <f>MIN(1.25,J87+15%)</f>
        <v/>
      </c>
      <c r="P87" s="17">
        <f>J87</f>
        <v/>
      </c>
      <c r="Q87" s="17">
        <f>MIN(1.25,O87*P87/90%)</f>
        <v/>
      </c>
    </row>
    <row r="88">
      <c r="A88" s="13" t="n">
        <v>83</v>
      </c>
      <c r="B88" s="14" t="inlineStr">
        <is>
          <t>Emmanuel Koranteng</t>
        </is>
      </c>
      <c r="C88" s="14" t="inlineStr">
        <is>
          <t>ELECTRICIAN</t>
        </is>
      </c>
      <c r="D88" s="14" t="inlineStr">
        <is>
          <t>TN0285</t>
        </is>
      </c>
      <c r="E88" s="13" t="n">
        <v>22</v>
      </c>
      <c r="F88" s="15">
        <f>E88*8</f>
        <v/>
      </c>
      <c r="G88" s="16" t="n">
        <v>1</v>
      </c>
      <c r="H88" s="15">
        <f>F88+G88</f>
        <v/>
      </c>
      <c r="I88" s="16" t="n">
        <v>128.15</v>
      </c>
      <c r="J88" s="17">
        <f>IFERROR(I88/H88,0)</f>
        <v/>
      </c>
      <c r="K88" s="17">
        <f>MAX(0,1-J88)</f>
        <v/>
      </c>
      <c r="L88" s="18" t="n">
        <v>10675.28</v>
      </c>
      <c r="M88" s="16" t="n">
        <v>128.15</v>
      </c>
      <c r="N88" s="15">
        <f>M88+E88*2</f>
        <v/>
      </c>
      <c r="O88" s="17">
        <f>MIN(1.25,J88+15%)</f>
        <v/>
      </c>
      <c r="P88" s="17">
        <f>J88</f>
        <v/>
      </c>
      <c r="Q88" s="17">
        <f>MIN(1.25,O88*P88/90%)</f>
        <v/>
      </c>
    </row>
    <row r="90">
      <c r="A90" s="19" t="n"/>
      <c r="B90" s="20" t="inlineStr">
        <is>
          <t>TOTAL / AVG</t>
        </is>
      </c>
      <c r="C90" s="19" t="n"/>
      <c r="D90" s="19" t="n"/>
      <c r="E90" s="21">
        <f>SUM(E6:E88)</f>
        <v/>
      </c>
      <c r="F90" s="21">
        <f>SUM(F6:F88)</f>
        <v/>
      </c>
      <c r="G90" s="21">
        <f>SUM(G6:G88)</f>
        <v/>
      </c>
      <c r="H90" s="21">
        <f>SUM(H6:H88)</f>
        <v/>
      </c>
      <c r="I90" s="21">
        <f>SUM(I6:I88)</f>
        <v/>
      </c>
      <c r="J90" s="22">
        <f>AVERAGE(J6:J88)</f>
        <v/>
      </c>
      <c r="K90" s="22">
        <f>AVERAGE(K6:K88)</f>
        <v/>
      </c>
      <c r="L90" s="23">
        <f>SUM(L6:L88)</f>
        <v/>
      </c>
      <c r="M90" s="21">
        <f>SUM(M6:M88)</f>
        <v/>
      </c>
      <c r="N90" s="21">
        <f>SUM(N6:N88)</f>
        <v/>
      </c>
      <c r="O90" s="22">
        <f>AVERAGE(O6:O88)</f>
        <v/>
      </c>
      <c r="P90" s="22">
        <f>AVERAGE(P6:P88)</f>
        <v/>
      </c>
      <c r="Q90" s="22">
        <f>AVERAGE(Q6:Q88)</f>
        <v/>
      </c>
    </row>
  </sheetData>
  <autoFilter ref="A5:Q88"/>
  <mergeCells count="3">
    <mergeCell ref="B2:Q2"/>
    <mergeCell ref="I1:M1"/>
    <mergeCell ref="A1:H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1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3" customWidth="1" min="14" max="14"/>
    <col width="9" customWidth="1" min="15" max="15"/>
    <col width="9" customWidth="1" min="16" max="16"/>
    <col width="9" customWidth="1" min="17" max="17"/>
  </cols>
  <sheetData>
    <row r="1">
      <c r="A1" s="9" t="inlineStr">
        <is>
          <t>Pioneer Car Service Center</t>
        </is>
      </c>
      <c r="I1" s="9" t="inlineStr">
        <is>
          <t>Technicians KPI's Report</t>
        </is>
      </c>
      <c r="N1" s="10" t="inlineStr">
        <is>
          <t>Period:</t>
        </is>
      </c>
      <c r="O1" s="10" t="inlineStr">
        <is>
          <t>Jul-2026</t>
        </is>
      </c>
    </row>
    <row r="2">
      <c r="A2" s="24" t="inlineStr">
        <is>
          <t>Data status:</t>
        </is>
      </c>
      <c r="B2" s="25" t="inlineStr">
        <is>
          <t>ACTUAL (transcribed from provided report)</t>
        </is>
      </c>
    </row>
    <row r="5" ht="34" customHeight="1">
      <c r="A5" s="12" t="inlineStr">
        <is>
          <t>S.No</t>
        </is>
      </c>
      <c r="B5" s="12" t="inlineStr">
        <is>
          <t>Technician</t>
        </is>
      </c>
      <c r="C5" s="12" t="inlineStr">
        <is>
          <t>Designation</t>
        </is>
      </c>
      <c r="D5" s="12" t="inlineStr">
        <is>
          <t>Tech ID</t>
        </is>
      </c>
      <c r="E5" s="12" t="inlineStr">
        <is>
          <t>Days Present</t>
        </is>
      </c>
      <c r="F5" s="12" t="inlineStr">
        <is>
          <t>Avail. Hrs</t>
        </is>
      </c>
      <c r="G5" s="12" t="inlineStr">
        <is>
          <t>OT</t>
        </is>
      </c>
      <c r="H5" s="12" t="inlineStr">
        <is>
          <t>Total Hrs</t>
        </is>
      </c>
      <c r="I5" s="12" t="inlineStr">
        <is>
          <t>Worked Hrs</t>
        </is>
      </c>
      <c r="J5" s="12" t="inlineStr">
        <is>
          <t>Prod HRS (%)</t>
        </is>
      </c>
      <c r="K5" s="12" t="inlineStr">
        <is>
          <t>Idle HRS (%)</t>
        </is>
      </c>
      <c r="L5" s="12" t="inlineStr">
        <is>
          <t>Billed Value (AED)</t>
        </is>
      </c>
      <c r="M5" s="12" t="inlineStr">
        <is>
          <t>Billed HRS</t>
        </is>
      </c>
      <c r="N5" s="12" t="inlineStr">
        <is>
          <t>Billed Hours</t>
        </is>
      </c>
      <c r="O5" s="12" t="inlineStr">
        <is>
          <t>U%</t>
        </is>
      </c>
      <c r="P5" s="12" t="inlineStr">
        <is>
          <t>P%</t>
        </is>
      </c>
      <c r="Q5" s="12" t="inlineStr">
        <is>
          <t>E%</t>
        </is>
      </c>
    </row>
    <row r="6">
      <c r="A6" s="26" t="n">
        <v>1</v>
      </c>
      <c r="B6" s="27" t="inlineStr">
        <is>
          <t>GERVAS LEONARD</t>
        </is>
      </c>
      <c r="C6" s="27" t="inlineStr">
        <is>
          <t>DENTER</t>
        </is>
      </c>
      <c r="D6" s="27" t="inlineStr">
        <is>
          <t>TN0015</t>
        </is>
      </c>
      <c r="E6" s="26" t="n">
        <v>27</v>
      </c>
      <c r="F6" s="28" t="n">
        <v>216</v>
      </c>
      <c r="G6" s="28" t="n">
        <v>0</v>
      </c>
      <c r="H6" s="28" t="n">
        <v>216</v>
      </c>
      <c r="I6" s="28" t="n">
        <v>182.33</v>
      </c>
      <c r="J6" s="29" t="n">
        <v>0.84</v>
      </c>
      <c r="K6" s="29" t="n">
        <v>0.16</v>
      </c>
      <c r="L6" s="30" t="n">
        <v>15498.05</v>
      </c>
      <c r="M6" s="28" t="n">
        <v>182.33</v>
      </c>
      <c r="N6" s="28" t="n">
        <v>236.33</v>
      </c>
      <c r="O6" s="29" t="n">
        <v>0.99</v>
      </c>
      <c r="P6" s="29" t="n">
        <v>0.84</v>
      </c>
      <c r="Q6" s="29" t="n">
        <v>0.92</v>
      </c>
    </row>
    <row r="7">
      <c r="A7" s="26" t="n">
        <v>2</v>
      </c>
      <c r="B7" s="27" t="inlineStr">
        <is>
          <t>ATHUMANI HAMAD NGODA</t>
        </is>
      </c>
      <c r="C7" s="27" t="inlineStr">
        <is>
          <t>PAINTER</t>
        </is>
      </c>
      <c r="D7" s="27" t="inlineStr">
        <is>
          <t>TN0018</t>
        </is>
      </c>
      <c r="E7" s="26" t="n">
        <v>26</v>
      </c>
      <c r="F7" s="28" t="n">
        <v>208</v>
      </c>
      <c r="G7" s="28" t="n">
        <v>0</v>
      </c>
      <c r="H7" s="28" t="n">
        <v>208</v>
      </c>
      <c r="I7" s="28" t="n">
        <v>179.83</v>
      </c>
      <c r="J7" s="29" t="n">
        <v>0.86</v>
      </c>
      <c r="K7" s="29" t="n">
        <v>0.14</v>
      </c>
      <c r="L7" s="30" t="n">
        <v>15285.55</v>
      </c>
      <c r="M7" s="28" t="n">
        <v>179.83</v>
      </c>
      <c r="N7" s="28" t="n">
        <v>231.83</v>
      </c>
      <c r="O7" s="29" t="n">
        <v>1.01</v>
      </c>
      <c r="P7" s="29" t="n">
        <v>0.86</v>
      </c>
      <c r="Q7" s="29" t="n">
        <v>0.96</v>
      </c>
    </row>
    <row r="8">
      <c r="A8" s="26" t="n">
        <v>3</v>
      </c>
      <c r="B8" s="27" t="inlineStr">
        <is>
          <t>SAMIRULLAH Sheikh</t>
        </is>
      </c>
      <c r="C8" s="27" t="inlineStr">
        <is>
          <t>PAINTER</t>
        </is>
      </c>
      <c r="D8" s="27" t="inlineStr">
        <is>
          <t>TN0020</t>
        </is>
      </c>
      <c r="E8" s="26" t="n">
        <v>26</v>
      </c>
      <c r="F8" s="28" t="n">
        <v>208</v>
      </c>
      <c r="G8" s="28" t="n">
        <v>0</v>
      </c>
      <c r="H8" s="28" t="n">
        <v>208</v>
      </c>
      <c r="I8" s="28" t="n">
        <v>182.25</v>
      </c>
      <c r="J8" s="29" t="n">
        <v>0.88</v>
      </c>
      <c r="K8" s="29" t="n">
        <v>0.12</v>
      </c>
      <c r="L8" s="30" t="n">
        <v>15491.25</v>
      </c>
      <c r="M8" s="28" t="n">
        <v>182.25</v>
      </c>
      <c r="N8" s="28" t="n">
        <v>234.25</v>
      </c>
      <c r="O8" s="29" t="n">
        <v>1.03</v>
      </c>
      <c r="P8" s="29" t="n">
        <v>0.88</v>
      </c>
      <c r="Q8" s="29" t="n">
        <v>0.99</v>
      </c>
    </row>
    <row r="9">
      <c r="A9" s="26" t="n">
        <v>4</v>
      </c>
      <c r="B9" s="27" t="inlineStr">
        <is>
          <t>BRUNO STEPHANO MASASI</t>
        </is>
      </c>
      <c r="C9" s="27" t="inlineStr">
        <is>
          <t>MECHANIC</t>
        </is>
      </c>
      <c r="D9" s="27" t="inlineStr">
        <is>
          <t>TN0023</t>
        </is>
      </c>
      <c r="E9" s="26" t="n">
        <v>28</v>
      </c>
      <c r="F9" s="28" t="n">
        <v>224</v>
      </c>
      <c r="G9" s="28" t="n">
        <v>0</v>
      </c>
      <c r="H9" s="28" t="n">
        <v>224</v>
      </c>
      <c r="I9" s="28" t="n">
        <v>206.6</v>
      </c>
      <c r="J9" s="29" t="n">
        <v>0.92</v>
      </c>
      <c r="K9" s="29" t="n">
        <v>0.08</v>
      </c>
      <c r="L9" s="30" t="n">
        <v>17561</v>
      </c>
      <c r="M9" s="28" t="n">
        <v>206.6</v>
      </c>
      <c r="N9" s="28" t="n">
        <v>262.6</v>
      </c>
      <c r="O9" s="29" t="n">
        <v>1.07</v>
      </c>
      <c r="P9" s="29" t="n">
        <v>0.92</v>
      </c>
      <c r="Q9" s="29" t="n">
        <v>1.08</v>
      </c>
    </row>
    <row r="10">
      <c r="A10" s="26" t="n">
        <v>5</v>
      </c>
      <c r="B10" s="27" t="inlineStr">
        <is>
          <t>JUMANNE ABDUL</t>
        </is>
      </c>
      <c r="C10" s="27" t="inlineStr">
        <is>
          <t>PAINTER</t>
        </is>
      </c>
      <c r="D10" s="27" t="inlineStr">
        <is>
          <t>TN0025</t>
        </is>
      </c>
      <c r="E10" s="26" t="n">
        <v>27</v>
      </c>
      <c r="F10" s="28" t="n">
        <v>216</v>
      </c>
      <c r="G10" s="28" t="n">
        <v>0</v>
      </c>
      <c r="H10" s="28" t="n">
        <v>216</v>
      </c>
      <c r="I10" s="28" t="n">
        <v>185.92</v>
      </c>
      <c r="J10" s="29" t="n">
        <v>0.86</v>
      </c>
      <c r="K10" s="29" t="n">
        <v>0.14</v>
      </c>
      <c r="L10" s="30" t="n">
        <v>15803.2</v>
      </c>
      <c r="M10" s="28" t="n">
        <v>185.92</v>
      </c>
      <c r="N10" s="28" t="n">
        <v>239.92</v>
      </c>
      <c r="O10" s="29" t="n">
        <v>1.01</v>
      </c>
      <c r="P10" s="29" t="n">
        <v>0.86</v>
      </c>
      <c r="Q10" s="29" t="n">
        <v>0.96</v>
      </c>
    </row>
    <row r="11">
      <c r="A11" s="26" t="n">
        <v>6</v>
      </c>
      <c r="B11" s="27" t="inlineStr">
        <is>
          <t>Ally Bakali Kufikili</t>
        </is>
      </c>
      <c r="C11" s="27" t="inlineStr">
        <is>
          <t>PAINTER</t>
        </is>
      </c>
      <c r="D11" s="27" t="inlineStr">
        <is>
          <t>TN0027</t>
        </is>
      </c>
      <c r="E11" s="26" t="n">
        <v>1</v>
      </c>
      <c r="F11" s="28" t="n">
        <v>8</v>
      </c>
      <c r="G11" s="28" t="n">
        <v>0</v>
      </c>
      <c r="H11" s="28" t="n">
        <v>8</v>
      </c>
      <c r="I11" s="28" t="n">
        <v>7</v>
      </c>
      <c r="J11" s="29" t="n">
        <v>0.88</v>
      </c>
      <c r="K11" s="29" t="n">
        <v>0.13</v>
      </c>
      <c r="L11" s="30" t="n">
        <v>595</v>
      </c>
      <c r="M11" s="28" t="n">
        <v>7</v>
      </c>
      <c r="N11" s="28" t="n">
        <v>9</v>
      </c>
      <c r="O11" s="29" t="n">
        <v>1.03</v>
      </c>
      <c r="P11" s="29" t="n">
        <v>0.88</v>
      </c>
      <c r="Q11" s="29" t="n">
        <v>0.98</v>
      </c>
    </row>
    <row r="12">
      <c r="A12" s="26" t="n">
        <v>7</v>
      </c>
      <c r="B12" s="27" t="inlineStr">
        <is>
          <t>Daudi Khafani Mrisho</t>
        </is>
      </c>
      <c r="C12" s="27" t="inlineStr">
        <is>
          <t>PAINTER</t>
        </is>
      </c>
      <c r="D12" s="27" t="inlineStr">
        <is>
          <t>TN0028</t>
        </is>
      </c>
      <c r="E12" s="26" t="n">
        <v>27</v>
      </c>
      <c r="F12" s="28" t="n">
        <v>216</v>
      </c>
      <c r="G12" s="28" t="n">
        <v>0</v>
      </c>
      <c r="H12" s="28" t="n">
        <v>216</v>
      </c>
      <c r="I12" s="28" t="n">
        <v>179.08</v>
      </c>
      <c r="J12" s="29" t="n">
        <v>0.83</v>
      </c>
      <c r="K12" s="29" t="n">
        <v>0.17</v>
      </c>
      <c r="L12" s="30" t="n">
        <v>15221.8</v>
      </c>
      <c r="M12" s="28" t="n">
        <v>179.08</v>
      </c>
      <c r="N12" s="28" t="n">
        <v>233.08</v>
      </c>
      <c r="O12" s="29" t="n">
        <v>0.98</v>
      </c>
      <c r="P12" s="29" t="n">
        <v>0.83</v>
      </c>
      <c r="Q12" s="29" t="n">
        <v>0.89</v>
      </c>
    </row>
    <row r="13">
      <c r="A13" s="26" t="n">
        <v>8</v>
      </c>
      <c r="B13" s="27" t="inlineStr">
        <is>
          <t>Aboo Khan Babu Khan</t>
        </is>
      </c>
      <c r="C13" s="27" t="inlineStr">
        <is>
          <t>PAINTER</t>
        </is>
      </c>
      <c r="D13" s="27" t="inlineStr">
        <is>
          <t>TN0041</t>
        </is>
      </c>
      <c r="E13" s="26" t="n">
        <v>25</v>
      </c>
      <c r="F13" s="28" t="n">
        <v>200</v>
      </c>
      <c r="G13" s="28" t="n">
        <v>0</v>
      </c>
      <c r="H13" s="28" t="n">
        <v>200</v>
      </c>
      <c r="I13" s="28" t="n">
        <v>161.08</v>
      </c>
      <c r="J13" s="29" t="n">
        <v>0.8100000000000001</v>
      </c>
      <c r="K13" s="29" t="n">
        <v>0.19</v>
      </c>
      <c r="L13" s="30" t="n">
        <v>13691.8</v>
      </c>
      <c r="M13" s="28" t="n">
        <v>161.08</v>
      </c>
      <c r="N13" s="28" t="n">
        <v>211.08</v>
      </c>
      <c r="O13" s="29" t="n">
        <v>0.96</v>
      </c>
      <c r="P13" s="29" t="n">
        <v>0.8100000000000001</v>
      </c>
      <c r="Q13" s="29" t="n">
        <v>0.85</v>
      </c>
    </row>
    <row r="14">
      <c r="A14" s="26" t="n">
        <v>9</v>
      </c>
      <c r="B14" s="27" t="inlineStr">
        <is>
          <t>AFZAL ALI</t>
        </is>
      </c>
      <c r="C14" s="27" t="inlineStr">
        <is>
          <t>DENTER</t>
        </is>
      </c>
      <c r="D14" s="27" t="inlineStr">
        <is>
          <t>TN0046</t>
        </is>
      </c>
      <c r="E14" s="26" t="n">
        <v>27</v>
      </c>
      <c r="F14" s="28" t="n">
        <v>216</v>
      </c>
      <c r="G14" s="28" t="n">
        <v>0</v>
      </c>
      <c r="H14" s="28" t="n">
        <v>216</v>
      </c>
      <c r="I14" s="28" t="n">
        <v>172.92</v>
      </c>
      <c r="J14" s="29" t="n">
        <v>0.8</v>
      </c>
      <c r="K14" s="29" t="n">
        <v>0.2</v>
      </c>
      <c r="L14" s="30" t="n">
        <v>14698.2</v>
      </c>
      <c r="M14" s="28" t="n">
        <v>172.92</v>
      </c>
      <c r="N14" s="28" t="n">
        <v>226.92</v>
      </c>
      <c r="O14" s="29" t="n">
        <v>0.95</v>
      </c>
      <c r="P14" s="29" t="n">
        <v>0.8</v>
      </c>
      <c r="Q14" s="29" t="n">
        <v>0.84</v>
      </c>
    </row>
    <row r="15">
      <c r="A15" s="26" t="n">
        <v>10</v>
      </c>
      <c r="B15" s="27" t="inlineStr">
        <is>
          <t>ALEX LAL</t>
        </is>
      </c>
      <c r="C15" s="27" t="inlineStr">
        <is>
          <t>DENTER</t>
        </is>
      </c>
      <c r="D15" s="27" t="inlineStr">
        <is>
          <t>TN0047</t>
        </is>
      </c>
      <c r="E15" s="26" t="n">
        <v>26</v>
      </c>
      <c r="F15" s="28" t="n">
        <v>208</v>
      </c>
      <c r="G15" s="28" t="n">
        <v>0</v>
      </c>
      <c r="H15" s="28" t="n">
        <v>208</v>
      </c>
      <c r="I15" s="28" t="n">
        <v>175.3</v>
      </c>
      <c r="J15" s="29" t="n">
        <v>0.84</v>
      </c>
      <c r="K15" s="29" t="n">
        <v>0.16</v>
      </c>
      <c r="L15" s="30" t="n">
        <v>14900.5</v>
      </c>
      <c r="M15" s="28" t="n">
        <v>175.3</v>
      </c>
      <c r="N15" s="28" t="n">
        <v>227.3</v>
      </c>
      <c r="O15" s="29" t="n">
        <v>0.99</v>
      </c>
      <c r="P15" s="29" t="n">
        <v>0.84</v>
      </c>
      <c r="Q15" s="29" t="n">
        <v>0.92</v>
      </c>
    </row>
    <row r="16">
      <c r="A16" s="26" t="n">
        <v>11</v>
      </c>
      <c r="B16" s="27" t="inlineStr">
        <is>
          <t>MOHAMMAD ALMAGIR</t>
        </is>
      </c>
      <c r="C16" s="27" t="inlineStr">
        <is>
          <t>MECHANIC</t>
        </is>
      </c>
      <c r="D16" s="27" t="inlineStr">
        <is>
          <t>TN0055</t>
        </is>
      </c>
      <c r="E16" s="26" t="n">
        <v>12</v>
      </c>
      <c r="F16" s="28" t="n">
        <v>96</v>
      </c>
      <c r="G16" s="28" t="n">
        <v>0</v>
      </c>
      <c r="H16" s="28" t="n">
        <v>96</v>
      </c>
      <c r="I16" s="28" t="n">
        <v>39.33</v>
      </c>
      <c r="J16" s="29" t="n">
        <v>0.41</v>
      </c>
      <c r="K16" s="29" t="n">
        <v>0.59</v>
      </c>
      <c r="L16" s="30" t="n">
        <v>3343.05</v>
      </c>
      <c r="M16" s="28" t="n">
        <v>39.33</v>
      </c>
      <c r="N16" s="28" t="n">
        <v>63.33</v>
      </c>
      <c r="O16" s="29" t="n">
        <v>0.5600000000000001</v>
      </c>
      <c r="P16" s="29" t="n">
        <v>0.41</v>
      </c>
      <c r="Q16" s="29" t="n">
        <v>0.27</v>
      </c>
    </row>
    <row r="17">
      <c r="A17" s="26" t="n">
        <v>12</v>
      </c>
      <c r="B17" s="27" t="inlineStr">
        <is>
          <t>ADESH BARUA</t>
        </is>
      </c>
      <c r="C17" s="27" t="inlineStr">
        <is>
          <t>ELECTRICIAN</t>
        </is>
      </c>
      <c r="D17" s="27" t="inlineStr">
        <is>
          <t>TN0064</t>
        </is>
      </c>
      <c r="E17" s="26" t="n">
        <v>27</v>
      </c>
      <c r="F17" s="28" t="n">
        <v>216</v>
      </c>
      <c r="G17" s="28" t="n">
        <v>0</v>
      </c>
      <c r="H17" s="28" t="n">
        <v>216</v>
      </c>
      <c r="I17" s="28" t="n">
        <v>176.25</v>
      </c>
      <c r="J17" s="29" t="n">
        <v>0.82</v>
      </c>
      <c r="K17" s="29" t="n">
        <v>0.18</v>
      </c>
      <c r="L17" s="30" t="n">
        <v>14981.25</v>
      </c>
      <c r="M17" s="28" t="n">
        <v>176.25</v>
      </c>
      <c r="N17" s="28" t="n">
        <v>230.25</v>
      </c>
      <c r="O17" s="29" t="n">
        <v>0.97</v>
      </c>
      <c r="P17" s="29" t="n">
        <v>0.82</v>
      </c>
      <c r="Q17" s="29" t="n">
        <v>0.87</v>
      </c>
    </row>
    <row r="18">
      <c r="A18" s="26" t="n">
        <v>13</v>
      </c>
      <c r="B18" s="27" t="inlineStr">
        <is>
          <t>BIDYADHAR BHUYAN</t>
        </is>
      </c>
      <c r="C18" s="27" t="inlineStr">
        <is>
          <t>PAINTER</t>
        </is>
      </c>
      <c r="D18" s="27" t="inlineStr">
        <is>
          <t>TN0067</t>
        </is>
      </c>
      <c r="E18" s="26" t="n">
        <v>27</v>
      </c>
      <c r="F18" s="28" t="n">
        <v>216</v>
      </c>
      <c r="G18" s="28" t="n">
        <v>0</v>
      </c>
      <c r="H18" s="28" t="n">
        <v>216</v>
      </c>
      <c r="I18" s="28" t="n">
        <v>169.73</v>
      </c>
      <c r="J18" s="29" t="n">
        <v>0.79</v>
      </c>
      <c r="K18" s="29" t="n">
        <v>0.21</v>
      </c>
      <c r="L18" s="30" t="n">
        <v>14427.05</v>
      </c>
      <c r="M18" s="28" t="n">
        <v>169.73</v>
      </c>
      <c r="N18" s="28" t="n">
        <v>223.73</v>
      </c>
      <c r="O18" s="29" t="n">
        <v>0.9399999999999999</v>
      </c>
      <c r="P18" s="29" t="n">
        <v>0.79</v>
      </c>
      <c r="Q18" s="29" t="n">
        <v>0.8100000000000001</v>
      </c>
    </row>
    <row r="19">
      <c r="A19" s="26" t="n">
        <v>14</v>
      </c>
      <c r="B19" s="27" t="inlineStr">
        <is>
          <t>MOHAMMAD EHTESHAM</t>
        </is>
      </c>
      <c r="C19" s="27" t="inlineStr">
        <is>
          <t>PAINTER</t>
        </is>
      </c>
      <c r="D19" s="27" t="inlineStr">
        <is>
          <t>TN0069</t>
        </is>
      </c>
      <c r="E19" s="26" t="n">
        <v>27</v>
      </c>
      <c r="F19" s="28" t="n">
        <v>216</v>
      </c>
      <c r="G19" s="28" t="n">
        <v>0</v>
      </c>
      <c r="H19" s="28" t="n">
        <v>216</v>
      </c>
      <c r="I19" s="28" t="n">
        <v>199.48</v>
      </c>
      <c r="J19" s="29" t="n">
        <v>0.92</v>
      </c>
      <c r="K19" s="29" t="n">
        <v>0.08</v>
      </c>
      <c r="L19" s="30" t="n">
        <v>16955.8</v>
      </c>
      <c r="M19" s="28" t="n">
        <v>199.48</v>
      </c>
      <c r="N19" s="28" t="n">
        <v>253.48</v>
      </c>
      <c r="O19" s="29" t="n">
        <v>1.07</v>
      </c>
      <c r="P19" s="29" t="n">
        <v>0.92</v>
      </c>
      <c r="Q19" s="29" t="n">
        <v>1.08</v>
      </c>
    </row>
    <row r="20">
      <c r="A20" s="26" t="n">
        <v>15</v>
      </c>
      <c r="B20" s="27" t="inlineStr">
        <is>
          <t>SHAZADA ALI</t>
        </is>
      </c>
      <c r="C20" s="27" t="inlineStr">
        <is>
          <t>DENTER</t>
        </is>
      </c>
      <c r="D20" s="27" t="inlineStr">
        <is>
          <t>TN0072</t>
        </is>
      </c>
      <c r="E20" s="26" t="n">
        <v>27</v>
      </c>
      <c r="F20" s="28" t="n">
        <v>216</v>
      </c>
      <c r="G20" s="28" t="n">
        <v>0</v>
      </c>
      <c r="H20" s="28" t="n">
        <v>216</v>
      </c>
      <c r="I20" s="28" t="n">
        <v>201.27</v>
      </c>
      <c r="J20" s="29" t="n">
        <v>0.93</v>
      </c>
      <c r="K20" s="29" t="n">
        <v>0.07000000000000001</v>
      </c>
      <c r="L20" s="30" t="n">
        <v>17107.95</v>
      </c>
      <c r="M20" s="28" t="n">
        <v>201.27</v>
      </c>
      <c r="N20" s="28" t="n">
        <v>255.27</v>
      </c>
      <c r="O20" s="29" t="n">
        <v>1.08</v>
      </c>
      <c r="P20" s="29" t="n">
        <v>0.93</v>
      </c>
      <c r="Q20" s="29" t="n">
        <v>1.1</v>
      </c>
    </row>
    <row r="21">
      <c r="A21" s="26" t="n">
        <v>16</v>
      </c>
      <c r="B21" s="27" t="inlineStr">
        <is>
          <t>DIVAKAREN</t>
        </is>
      </c>
      <c r="C21" s="27" t="inlineStr">
        <is>
          <t>ELECTRICIAN</t>
        </is>
      </c>
      <c r="D21" s="27" t="inlineStr">
        <is>
          <t>TN0073</t>
        </is>
      </c>
      <c r="E21" s="26" t="n">
        <v>26</v>
      </c>
      <c r="F21" s="28" t="n">
        <v>208</v>
      </c>
      <c r="G21" s="28" t="n">
        <v>0</v>
      </c>
      <c r="H21" s="28" t="n">
        <v>208</v>
      </c>
      <c r="I21" s="28" t="n">
        <v>113.37</v>
      </c>
      <c r="J21" s="29" t="n">
        <v>0.55</v>
      </c>
      <c r="K21" s="29" t="n">
        <v>0.45</v>
      </c>
      <c r="L21" s="30" t="n">
        <v>9636.450000000001</v>
      </c>
      <c r="M21" s="28" t="n">
        <v>113.37</v>
      </c>
      <c r="N21" s="28" t="n">
        <v>165.37</v>
      </c>
      <c r="O21" s="29" t="n">
        <v>0.7</v>
      </c>
      <c r="P21" s="29" t="n">
        <v>0.55</v>
      </c>
      <c r="Q21" s="29" t="n">
        <v>0.43</v>
      </c>
    </row>
    <row r="22">
      <c r="A22" s="26" t="n">
        <v>17</v>
      </c>
      <c r="B22" s="27" t="inlineStr">
        <is>
          <t>RAGHIN KUVVAKKAT</t>
        </is>
      </c>
      <c r="C22" s="27" t="inlineStr">
        <is>
          <t>MECHANIC</t>
        </is>
      </c>
      <c r="D22" s="27" t="inlineStr">
        <is>
          <t>TN0082</t>
        </is>
      </c>
      <c r="E22" s="26" t="n">
        <v>27</v>
      </c>
      <c r="F22" s="28" t="n">
        <v>216</v>
      </c>
      <c r="G22" s="28" t="n">
        <v>0</v>
      </c>
      <c r="H22" s="28" t="n">
        <v>216</v>
      </c>
      <c r="I22" s="28" t="n">
        <v>149.1</v>
      </c>
      <c r="J22" s="29" t="n">
        <v>0.6899999999999999</v>
      </c>
      <c r="K22" s="29" t="n">
        <v>0.31</v>
      </c>
      <c r="L22" s="30" t="n">
        <v>12673.5</v>
      </c>
      <c r="M22" s="28" t="n">
        <v>149.1</v>
      </c>
      <c r="N22" s="28" t="n">
        <v>203.1</v>
      </c>
      <c r="O22" s="29" t="n">
        <v>0.84</v>
      </c>
      <c r="P22" s="29" t="n">
        <v>0.6899999999999999</v>
      </c>
      <c r="Q22" s="29" t="n">
        <v>0.65</v>
      </c>
    </row>
    <row r="23">
      <c r="A23" s="26" t="n">
        <v>18</v>
      </c>
      <c r="B23" s="27" t="inlineStr">
        <is>
          <t>MARLON LANDICHO</t>
        </is>
      </c>
      <c r="C23" s="27" t="inlineStr">
        <is>
          <t>MECHANIC</t>
        </is>
      </c>
      <c r="D23" s="27" t="inlineStr">
        <is>
          <t>TN0089</t>
        </is>
      </c>
      <c r="E23" s="26" t="n">
        <v>27</v>
      </c>
      <c r="F23" s="28" t="n">
        <v>216</v>
      </c>
      <c r="G23" s="28" t="n">
        <v>0</v>
      </c>
      <c r="H23" s="28" t="n">
        <v>216</v>
      </c>
      <c r="I23" s="28" t="n">
        <v>194.25</v>
      </c>
      <c r="J23" s="29" t="n">
        <v>0.9</v>
      </c>
      <c r="K23" s="29" t="n">
        <v>0.1</v>
      </c>
      <c r="L23" s="30" t="n">
        <v>16511.25</v>
      </c>
      <c r="M23" s="28" t="n">
        <v>194.25</v>
      </c>
      <c r="N23" s="28" t="n">
        <v>248.25</v>
      </c>
      <c r="O23" s="29" t="n">
        <v>1.05</v>
      </c>
      <c r="P23" s="29" t="n">
        <v>0.9</v>
      </c>
      <c r="Q23" s="29" t="n">
        <v>1.03</v>
      </c>
    </row>
    <row r="24">
      <c r="A24" s="26" t="n">
        <v>19</v>
      </c>
      <c r="B24" s="27" t="inlineStr">
        <is>
          <t>LIJO SAJAN DANIEL</t>
        </is>
      </c>
      <c r="C24" s="27" t="inlineStr">
        <is>
          <t>MECHANIC</t>
        </is>
      </c>
      <c r="D24" s="27" t="inlineStr">
        <is>
          <t>TN0092</t>
        </is>
      </c>
      <c r="E24" s="26" t="n">
        <v>27</v>
      </c>
      <c r="F24" s="28" t="n">
        <v>216</v>
      </c>
      <c r="G24" s="28" t="n">
        <v>0</v>
      </c>
      <c r="H24" s="28" t="n">
        <v>216</v>
      </c>
      <c r="I24" s="28" t="n">
        <v>174.98</v>
      </c>
      <c r="J24" s="29" t="n">
        <v>0.8100000000000001</v>
      </c>
      <c r="K24" s="29" t="n">
        <v>0.19</v>
      </c>
      <c r="L24" s="30" t="n">
        <v>14873.3</v>
      </c>
      <c r="M24" s="28" t="n">
        <v>174.98</v>
      </c>
      <c r="N24" s="28" t="n">
        <v>228.98</v>
      </c>
      <c r="O24" s="29" t="n">
        <v>0.96</v>
      </c>
      <c r="P24" s="29" t="n">
        <v>0.8100000000000001</v>
      </c>
      <c r="Q24" s="29" t="n">
        <v>0.86</v>
      </c>
    </row>
    <row r="25">
      <c r="A25" s="26" t="n">
        <v>20</v>
      </c>
      <c r="B25" s="27" t="inlineStr">
        <is>
          <t>WASSIM AKKARI</t>
        </is>
      </c>
      <c r="C25" s="27" t="inlineStr">
        <is>
          <t>TYRE TECHNICIAN</t>
        </is>
      </c>
      <c r="D25" s="27" t="inlineStr">
        <is>
          <t>TN0096</t>
        </is>
      </c>
      <c r="E25" s="26" t="n">
        <v>25</v>
      </c>
      <c r="F25" s="28" t="n">
        <v>200</v>
      </c>
      <c r="G25" s="28" t="n">
        <v>0</v>
      </c>
      <c r="H25" s="28" t="n">
        <v>200</v>
      </c>
      <c r="I25" s="28" t="n">
        <v>136.1</v>
      </c>
      <c r="J25" s="29" t="n">
        <v>0.68</v>
      </c>
      <c r="K25" s="29" t="n">
        <v>0.32</v>
      </c>
      <c r="L25" s="30" t="n">
        <v>11568.5</v>
      </c>
      <c r="M25" s="28" t="n">
        <v>136.1</v>
      </c>
      <c r="N25" s="28" t="n">
        <v>186.1</v>
      </c>
      <c r="O25" s="29" t="n">
        <v>0.83</v>
      </c>
      <c r="P25" s="29" t="n">
        <v>0.68</v>
      </c>
      <c r="Q25" s="29" t="n">
        <v>0.63</v>
      </c>
    </row>
    <row r="26">
      <c r="A26" s="26" t="n">
        <v>21</v>
      </c>
      <c r="B26" s="27" t="inlineStr">
        <is>
          <t>MUHAMMAD NADEEM</t>
        </is>
      </c>
      <c r="C26" s="27" t="inlineStr">
        <is>
          <t>MECHANIC</t>
        </is>
      </c>
      <c r="D26" s="27" t="inlineStr">
        <is>
          <t>TN0107</t>
        </is>
      </c>
      <c r="E26" s="26" t="n">
        <v>27</v>
      </c>
      <c r="F26" s="28" t="n">
        <v>216</v>
      </c>
      <c r="G26" s="28" t="n">
        <v>0</v>
      </c>
      <c r="H26" s="28" t="n">
        <v>216</v>
      </c>
      <c r="I26" s="28" t="n">
        <v>209.38</v>
      </c>
      <c r="J26" s="29" t="n">
        <v>0.97</v>
      </c>
      <c r="K26" s="29" t="n">
        <v>0.03</v>
      </c>
      <c r="L26" s="30" t="n">
        <v>17797.3</v>
      </c>
      <c r="M26" s="28" t="n">
        <v>209.38</v>
      </c>
      <c r="N26" s="28" t="n">
        <v>263.38</v>
      </c>
      <c r="O26" s="29" t="n">
        <v>1.12</v>
      </c>
      <c r="P26" s="29" t="n">
        <v>0.97</v>
      </c>
      <c r="Q26" s="29" t="n">
        <v>1.18</v>
      </c>
    </row>
    <row r="27">
      <c r="A27" s="26" t="n">
        <v>22</v>
      </c>
      <c r="B27" s="27" t="inlineStr">
        <is>
          <t>SURESH NATRAJAN</t>
        </is>
      </c>
      <c r="C27" s="27" t="inlineStr">
        <is>
          <t>TYRE TECHNICIAN</t>
        </is>
      </c>
      <c r="D27" s="27" t="inlineStr">
        <is>
          <t>TN0109</t>
        </is>
      </c>
      <c r="E27" s="26" t="n">
        <v>28</v>
      </c>
      <c r="F27" s="28" t="n">
        <v>224</v>
      </c>
      <c r="G27" s="28" t="n">
        <v>0</v>
      </c>
      <c r="H27" s="28" t="n">
        <v>224</v>
      </c>
      <c r="I27" s="28" t="n">
        <v>204.93</v>
      </c>
      <c r="J27" s="29" t="n">
        <v>0.91</v>
      </c>
      <c r="K27" s="29" t="n">
        <v>0.09</v>
      </c>
      <c r="L27" s="30" t="n">
        <v>17419.05</v>
      </c>
      <c r="M27" s="28" t="n">
        <v>204.93</v>
      </c>
      <c r="N27" s="28" t="n">
        <v>260.93</v>
      </c>
      <c r="O27" s="29" t="n">
        <v>1.06</v>
      </c>
      <c r="P27" s="29" t="n">
        <v>0.91</v>
      </c>
      <c r="Q27" s="29" t="n">
        <v>1.07</v>
      </c>
    </row>
    <row r="28">
      <c r="A28" s="26" t="n">
        <v>23</v>
      </c>
      <c r="B28" s="27" t="inlineStr">
        <is>
          <t>NIKHIL VARKEY</t>
        </is>
      </c>
      <c r="C28" s="27" t="inlineStr">
        <is>
          <t>ELECTRICIAN</t>
        </is>
      </c>
      <c r="D28" s="27" t="inlineStr">
        <is>
          <t>TN0114</t>
        </is>
      </c>
      <c r="E28" s="26" t="n">
        <v>26</v>
      </c>
      <c r="F28" s="28" t="n">
        <v>208</v>
      </c>
      <c r="G28" s="28" t="n">
        <v>0</v>
      </c>
      <c r="H28" s="28" t="n">
        <v>208</v>
      </c>
      <c r="I28" s="28" t="n">
        <v>109.28</v>
      </c>
      <c r="J28" s="29" t="n">
        <v>0.53</v>
      </c>
      <c r="K28" s="29" t="n">
        <v>0.47</v>
      </c>
      <c r="L28" s="30" t="n">
        <v>9288.799999999999</v>
      </c>
      <c r="M28" s="28" t="n">
        <v>109.28</v>
      </c>
      <c r="N28" s="28" t="n">
        <v>161.28</v>
      </c>
      <c r="O28" s="29" t="n">
        <v>0.68</v>
      </c>
      <c r="P28" s="29" t="n">
        <v>0.53</v>
      </c>
      <c r="Q28" s="29" t="n">
        <v>0.41</v>
      </c>
    </row>
    <row r="29">
      <c r="A29" s="26" t="n">
        <v>24</v>
      </c>
      <c r="B29" s="27" t="inlineStr">
        <is>
          <t>SAFIQUE MAHAMMAD</t>
        </is>
      </c>
      <c r="C29" s="27" t="inlineStr">
        <is>
          <t>DENTER</t>
        </is>
      </c>
      <c r="D29" s="27" t="inlineStr">
        <is>
          <t>TN0116</t>
        </is>
      </c>
      <c r="E29" s="26" t="n">
        <v>26</v>
      </c>
      <c r="F29" s="28" t="n">
        <v>208</v>
      </c>
      <c r="G29" s="28" t="n">
        <v>0</v>
      </c>
      <c r="H29" s="28" t="n">
        <v>208</v>
      </c>
      <c r="I29" s="28" t="n">
        <v>157.88</v>
      </c>
      <c r="J29" s="29" t="n">
        <v>0.76</v>
      </c>
      <c r="K29" s="29" t="n">
        <v>0.24</v>
      </c>
      <c r="L29" s="30" t="n">
        <v>13419.8</v>
      </c>
      <c r="M29" s="28" t="n">
        <v>157.88</v>
      </c>
      <c r="N29" s="28" t="n">
        <v>209.88</v>
      </c>
      <c r="O29" s="29" t="n">
        <v>0.91</v>
      </c>
      <c r="P29" s="29" t="n">
        <v>0.76</v>
      </c>
      <c r="Q29" s="29" t="n">
        <v>0.77</v>
      </c>
    </row>
    <row r="30">
      <c r="A30" s="26" t="n">
        <v>25</v>
      </c>
      <c r="B30" s="27" t="inlineStr">
        <is>
          <t>MOHAMAMD RAJA</t>
        </is>
      </c>
      <c r="C30" s="27" t="inlineStr">
        <is>
          <t>PAINTER</t>
        </is>
      </c>
      <c r="D30" s="27" t="inlineStr">
        <is>
          <t>TN0121</t>
        </is>
      </c>
      <c r="E30" s="26" t="n">
        <v>25</v>
      </c>
      <c r="F30" s="28" t="n">
        <v>200</v>
      </c>
      <c r="G30" s="28" t="n">
        <v>0</v>
      </c>
      <c r="H30" s="28" t="n">
        <v>200</v>
      </c>
      <c r="I30" s="28" t="n">
        <v>145.08</v>
      </c>
      <c r="J30" s="29" t="n">
        <v>0.73</v>
      </c>
      <c r="K30" s="29" t="n">
        <v>0.27</v>
      </c>
      <c r="L30" s="30" t="n">
        <v>12331.8</v>
      </c>
      <c r="M30" s="28" t="n">
        <v>145.08</v>
      </c>
      <c r="N30" s="28" t="n">
        <v>195.08</v>
      </c>
      <c r="O30" s="29" t="n">
        <v>0.88</v>
      </c>
      <c r="P30" s="29" t="n">
        <v>0.73</v>
      </c>
      <c r="Q30" s="29" t="n">
        <v>0.71</v>
      </c>
    </row>
    <row r="31">
      <c r="A31" s="26" t="n">
        <v>26</v>
      </c>
      <c r="B31" s="27" t="inlineStr">
        <is>
          <t>EJAJ AHMAD</t>
        </is>
      </c>
      <c r="C31" s="27" t="inlineStr">
        <is>
          <t>DENTER</t>
        </is>
      </c>
      <c r="D31" s="27" t="inlineStr">
        <is>
          <t>TN0122</t>
        </is>
      </c>
      <c r="E31" s="26" t="n">
        <v>26</v>
      </c>
      <c r="F31" s="28" t="n">
        <v>208</v>
      </c>
      <c r="G31" s="28" t="n">
        <v>0</v>
      </c>
      <c r="H31" s="28" t="n">
        <v>208</v>
      </c>
      <c r="I31" s="28" t="n">
        <v>178.02</v>
      </c>
      <c r="J31" s="29" t="n">
        <v>0.86</v>
      </c>
      <c r="K31" s="29" t="n">
        <v>0.14</v>
      </c>
      <c r="L31" s="30" t="n">
        <v>15131.7</v>
      </c>
      <c r="M31" s="28" t="n">
        <v>178.02</v>
      </c>
      <c r="N31" s="28" t="n">
        <v>230.02</v>
      </c>
      <c r="O31" s="29" t="n">
        <v>1.01</v>
      </c>
      <c r="P31" s="29" t="n">
        <v>0.86</v>
      </c>
      <c r="Q31" s="29" t="n">
        <v>0.95</v>
      </c>
    </row>
    <row r="32">
      <c r="A32" s="26" t="n">
        <v>27</v>
      </c>
      <c r="B32" s="27" t="inlineStr">
        <is>
          <t>MUHAMMAD ALMAS</t>
        </is>
      </c>
      <c r="C32" s="27" t="inlineStr">
        <is>
          <t>DENTER</t>
        </is>
      </c>
      <c r="D32" s="27" t="inlineStr">
        <is>
          <t>TN0128</t>
        </is>
      </c>
      <c r="E32" s="26" t="n">
        <v>26</v>
      </c>
      <c r="F32" s="28" t="n">
        <v>208</v>
      </c>
      <c r="G32" s="28" t="n">
        <v>0</v>
      </c>
      <c r="H32" s="28" t="n">
        <v>208</v>
      </c>
      <c r="I32" s="28" t="n">
        <v>122.25</v>
      </c>
      <c r="J32" s="29" t="n">
        <v>0.59</v>
      </c>
      <c r="K32" s="29" t="n">
        <v>0.41</v>
      </c>
      <c r="L32" s="30" t="n">
        <v>10391.25</v>
      </c>
      <c r="M32" s="28" t="n">
        <v>122.25</v>
      </c>
      <c r="N32" s="28" t="n">
        <v>174.25</v>
      </c>
      <c r="O32" s="29" t="n">
        <v>0.74</v>
      </c>
      <c r="P32" s="29" t="n">
        <v>0.59</v>
      </c>
      <c r="Q32" s="29" t="n">
        <v>0.49</v>
      </c>
    </row>
    <row r="33">
      <c r="A33" s="26" t="n">
        <v>28</v>
      </c>
      <c r="B33" s="27" t="inlineStr">
        <is>
          <t>Zeshan</t>
        </is>
      </c>
      <c r="C33" s="27" t="inlineStr">
        <is>
          <t>DENTER</t>
        </is>
      </c>
      <c r="D33" s="27" t="inlineStr">
        <is>
          <t>TN0141</t>
        </is>
      </c>
      <c r="E33" s="26" t="n">
        <v>27</v>
      </c>
      <c r="F33" s="28" t="n">
        <v>216</v>
      </c>
      <c r="G33" s="28" t="n">
        <v>0</v>
      </c>
      <c r="H33" s="28" t="n">
        <v>216</v>
      </c>
      <c r="I33" s="28" t="n">
        <v>202.98</v>
      </c>
      <c r="J33" s="29" t="n">
        <v>0.9399999999999999</v>
      </c>
      <c r="K33" s="29" t="n">
        <v>0.06</v>
      </c>
      <c r="L33" s="30" t="n">
        <v>17253.3</v>
      </c>
      <c r="M33" s="28" t="n">
        <v>202.98</v>
      </c>
      <c r="N33" s="28" t="n">
        <v>256.98</v>
      </c>
      <c r="O33" s="29" t="n">
        <v>1.09</v>
      </c>
      <c r="P33" s="29" t="n">
        <v>0.9399999999999999</v>
      </c>
      <c r="Q33" s="29" t="n">
        <v>1.12</v>
      </c>
    </row>
    <row r="34">
      <c r="A34" s="26" t="n">
        <v>29</v>
      </c>
      <c r="B34" s="27" t="inlineStr">
        <is>
          <t>SAIDAB AHAMED</t>
        </is>
      </c>
      <c r="C34" s="27" t="inlineStr">
        <is>
          <t>TYRE TECHNICIAN</t>
        </is>
      </c>
      <c r="D34" s="27" t="inlineStr">
        <is>
          <t>TN0150</t>
        </is>
      </c>
      <c r="E34" s="26" t="n">
        <v>27</v>
      </c>
      <c r="F34" s="28" t="n">
        <v>216</v>
      </c>
      <c r="G34" s="28" t="n">
        <v>0</v>
      </c>
      <c r="H34" s="28" t="n">
        <v>216</v>
      </c>
      <c r="I34" s="28" t="n">
        <v>186.82</v>
      </c>
      <c r="J34" s="29" t="n">
        <v>0.86</v>
      </c>
      <c r="K34" s="29" t="n">
        <v>0.14</v>
      </c>
      <c r="L34" s="30" t="n">
        <v>15879.7</v>
      </c>
      <c r="M34" s="28" t="n">
        <v>186.82</v>
      </c>
      <c r="N34" s="28" t="n">
        <v>240.82</v>
      </c>
      <c r="O34" s="29" t="n">
        <v>1.01</v>
      </c>
      <c r="P34" s="29" t="n">
        <v>0.86</v>
      </c>
      <c r="Q34" s="29" t="n">
        <v>0.96</v>
      </c>
    </row>
    <row r="35">
      <c r="A35" s="26" t="n">
        <v>30</v>
      </c>
      <c r="B35" s="27" t="inlineStr">
        <is>
          <t>FRANCIS AGEWI</t>
        </is>
      </c>
      <c r="C35" s="27" t="inlineStr">
        <is>
          <t>MECHANIC</t>
        </is>
      </c>
      <c r="D35" s="27" t="inlineStr">
        <is>
          <t>TN0171</t>
        </is>
      </c>
      <c r="E35" s="26" t="n">
        <v>27</v>
      </c>
      <c r="F35" s="28" t="n">
        <v>216</v>
      </c>
      <c r="G35" s="28" t="n">
        <v>0</v>
      </c>
      <c r="H35" s="28" t="n">
        <v>216</v>
      </c>
      <c r="I35" s="28" t="n">
        <v>207.48</v>
      </c>
      <c r="J35" s="29" t="n">
        <v>0.96</v>
      </c>
      <c r="K35" s="29" t="n">
        <v>0.04</v>
      </c>
      <c r="L35" s="30" t="n">
        <v>17635.8</v>
      </c>
      <c r="M35" s="28" t="n">
        <v>207.48</v>
      </c>
      <c r="N35" s="28" t="n">
        <v>261.48</v>
      </c>
      <c r="O35" s="29" t="n">
        <v>1.11</v>
      </c>
      <c r="P35" s="29" t="n">
        <v>0.96</v>
      </c>
      <c r="Q35" s="29" t="n">
        <v>1.16</v>
      </c>
    </row>
    <row r="36">
      <c r="A36" s="26" t="n">
        <v>31</v>
      </c>
      <c r="B36" s="27" t="inlineStr">
        <is>
          <t>Ally Ibrahim</t>
        </is>
      </c>
      <c r="C36" s="27" t="inlineStr">
        <is>
          <t>DENTER</t>
        </is>
      </c>
      <c r="D36" s="27" t="inlineStr">
        <is>
          <t>TN0180</t>
        </is>
      </c>
      <c r="E36" s="26" t="n">
        <v>16</v>
      </c>
      <c r="F36" s="28" t="n">
        <v>128</v>
      </c>
      <c r="G36" s="28" t="n">
        <v>0</v>
      </c>
      <c r="H36" s="28" t="n">
        <v>128</v>
      </c>
      <c r="I36" s="28" t="n">
        <v>38.97</v>
      </c>
      <c r="J36" s="29" t="n">
        <v>0.3</v>
      </c>
      <c r="K36" s="29" t="n">
        <v>0.7</v>
      </c>
      <c r="L36" s="30" t="n">
        <v>3312.45</v>
      </c>
      <c r="M36" s="28" t="n">
        <v>38.97</v>
      </c>
      <c r="N36" s="28" t="n">
        <v>70.97</v>
      </c>
      <c r="O36" s="29" t="n">
        <v>0.45</v>
      </c>
      <c r="P36" s="29" t="n">
        <v>0.3</v>
      </c>
      <c r="Q36" s="29" t="n">
        <v>0.17</v>
      </c>
    </row>
    <row r="37">
      <c r="A37" s="26" t="n">
        <v>32</v>
      </c>
      <c r="B37" s="27" t="inlineStr">
        <is>
          <t>RATHEETH PANICHOTH</t>
        </is>
      </c>
      <c r="C37" s="27" t="inlineStr">
        <is>
          <t>ELECTRICIAN</t>
        </is>
      </c>
      <c r="D37" s="27" t="inlineStr">
        <is>
          <t>TN0181</t>
        </is>
      </c>
      <c r="E37" s="26" t="n">
        <v>27</v>
      </c>
      <c r="F37" s="28" t="n">
        <v>216</v>
      </c>
      <c r="G37" s="28" t="n">
        <v>0</v>
      </c>
      <c r="H37" s="28" t="n">
        <v>216</v>
      </c>
      <c r="I37" s="28" t="n">
        <v>170.27</v>
      </c>
      <c r="J37" s="29" t="n">
        <v>0.79</v>
      </c>
      <c r="K37" s="29" t="n">
        <v>0.21</v>
      </c>
      <c r="L37" s="30" t="n">
        <v>14472.95</v>
      </c>
      <c r="M37" s="28" t="n">
        <v>170.27</v>
      </c>
      <c r="N37" s="28" t="n">
        <v>224.27</v>
      </c>
      <c r="O37" s="29" t="n">
        <v>0.9399999999999999</v>
      </c>
      <c r="P37" s="29" t="n">
        <v>0.79</v>
      </c>
      <c r="Q37" s="29" t="n">
        <v>0.82</v>
      </c>
    </row>
    <row r="38">
      <c r="A38" s="26" t="n">
        <v>33</v>
      </c>
      <c r="B38" s="27" t="inlineStr">
        <is>
          <t>MARK KAYIGO</t>
        </is>
      </c>
      <c r="C38" s="27" t="inlineStr">
        <is>
          <t>MECHANIC</t>
        </is>
      </c>
      <c r="D38" s="27" t="inlineStr">
        <is>
          <t>TN0182</t>
        </is>
      </c>
      <c r="E38" s="26" t="n">
        <v>27</v>
      </c>
      <c r="F38" s="28" t="n">
        <v>216</v>
      </c>
      <c r="G38" s="28" t="n">
        <v>0</v>
      </c>
      <c r="H38" s="28" t="n">
        <v>216</v>
      </c>
      <c r="I38" s="28" t="n">
        <v>204.75</v>
      </c>
      <c r="J38" s="29" t="n">
        <v>0.95</v>
      </c>
      <c r="K38" s="29" t="n">
        <v>0.05</v>
      </c>
      <c r="L38" s="30" t="n">
        <v>17403.75</v>
      </c>
      <c r="M38" s="28" t="n">
        <v>204.75</v>
      </c>
      <c r="N38" s="28" t="n">
        <v>258.75</v>
      </c>
      <c r="O38" s="29" t="n">
        <v>1.1</v>
      </c>
      <c r="P38" s="29" t="n">
        <v>0.95</v>
      </c>
      <c r="Q38" s="29" t="n">
        <v>1.14</v>
      </c>
    </row>
    <row r="39">
      <c r="A39" s="26" t="n">
        <v>34</v>
      </c>
      <c r="B39" s="27" t="inlineStr">
        <is>
          <t>ENAYAT SHAIKH ALI SHAIKH</t>
        </is>
      </c>
      <c r="C39" s="27" t="inlineStr">
        <is>
          <t>PAINTER</t>
        </is>
      </c>
      <c r="D39" s="27" t="inlineStr">
        <is>
          <t>TN0185</t>
        </is>
      </c>
      <c r="E39" s="26" t="n">
        <v>26</v>
      </c>
      <c r="F39" s="28" t="n">
        <v>208</v>
      </c>
      <c r="G39" s="28" t="n">
        <v>0</v>
      </c>
      <c r="H39" s="28" t="n">
        <v>208</v>
      </c>
      <c r="I39" s="28" t="n">
        <v>160.57</v>
      </c>
      <c r="J39" s="29" t="n">
        <v>0.77</v>
      </c>
      <c r="K39" s="29" t="n">
        <v>0.23</v>
      </c>
      <c r="L39" s="30" t="n">
        <v>13648.45</v>
      </c>
      <c r="M39" s="28" t="n">
        <v>160.57</v>
      </c>
      <c r="N39" s="28" t="n">
        <v>212.57</v>
      </c>
      <c r="O39" s="29" t="n">
        <v>0.92</v>
      </c>
      <c r="P39" s="29" t="n">
        <v>0.77</v>
      </c>
      <c r="Q39" s="29" t="n">
        <v>0.79</v>
      </c>
    </row>
    <row r="40">
      <c r="A40" s="26" t="n">
        <v>35</v>
      </c>
      <c r="B40" s="27" t="inlineStr">
        <is>
          <t>WAQAS GUL KHAN</t>
        </is>
      </c>
      <c r="C40" s="27" t="inlineStr">
        <is>
          <t>PAINTER</t>
        </is>
      </c>
      <c r="D40" s="27" t="inlineStr">
        <is>
          <t>TN0186</t>
        </is>
      </c>
      <c r="E40" s="26" t="n">
        <v>26</v>
      </c>
      <c r="F40" s="28" t="n">
        <v>208</v>
      </c>
      <c r="G40" s="28" t="n">
        <v>0</v>
      </c>
      <c r="H40" s="28" t="n">
        <v>208</v>
      </c>
      <c r="I40" s="28" t="n">
        <v>176.33</v>
      </c>
      <c r="J40" s="29" t="n">
        <v>0.85</v>
      </c>
      <c r="K40" s="29" t="n">
        <v>0.15</v>
      </c>
      <c r="L40" s="30" t="n">
        <v>14988.05</v>
      </c>
      <c r="M40" s="28" t="n">
        <v>176.33</v>
      </c>
      <c r="N40" s="28" t="n">
        <v>228.33</v>
      </c>
      <c r="O40" s="29" t="n">
        <v>1</v>
      </c>
      <c r="P40" s="29" t="n">
        <v>0.85</v>
      </c>
      <c r="Q40" s="29" t="n">
        <v>0.93</v>
      </c>
    </row>
    <row r="41">
      <c r="A41" s="26" t="n">
        <v>36</v>
      </c>
      <c r="B41" s="27" t="inlineStr">
        <is>
          <t>FARHAN AHAMAD</t>
        </is>
      </c>
      <c r="C41" s="27" t="inlineStr">
        <is>
          <t>MECHANIC</t>
        </is>
      </c>
      <c r="D41" s="27" t="inlineStr">
        <is>
          <t>TN0187</t>
        </is>
      </c>
      <c r="E41" s="26" t="n">
        <v>26</v>
      </c>
      <c r="F41" s="28" t="n">
        <v>208</v>
      </c>
      <c r="G41" s="28" t="n">
        <v>0</v>
      </c>
      <c r="H41" s="28" t="n">
        <v>208</v>
      </c>
      <c r="I41" s="28" t="n">
        <v>198.62</v>
      </c>
      <c r="J41" s="29" t="n">
        <v>0.95</v>
      </c>
      <c r="K41" s="29" t="n">
        <v>0.05</v>
      </c>
      <c r="L41" s="30" t="n">
        <v>16882.7</v>
      </c>
      <c r="M41" s="28" t="n">
        <v>198.62</v>
      </c>
      <c r="N41" s="28" t="n">
        <v>250.62</v>
      </c>
      <c r="O41" s="29" t="n">
        <v>1.1</v>
      </c>
      <c r="P41" s="29" t="n">
        <v>0.95</v>
      </c>
      <c r="Q41" s="29" t="n">
        <v>1.15</v>
      </c>
    </row>
    <row r="42">
      <c r="A42" s="26" t="n">
        <v>37</v>
      </c>
      <c r="B42" s="27" t="inlineStr">
        <is>
          <t>ABDELILAH BOUDINA</t>
        </is>
      </c>
      <c r="C42" s="27" t="inlineStr">
        <is>
          <t>PAINTER</t>
        </is>
      </c>
      <c r="D42" s="27" t="inlineStr">
        <is>
          <t>TN0201</t>
        </is>
      </c>
      <c r="E42" s="26" t="n">
        <v>1</v>
      </c>
      <c r="F42" s="28" t="n">
        <v>8</v>
      </c>
      <c r="G42" s="28" t="n">
        <v>0</v>
      </c>
      <c r="H42" s="28" t="n">
        <v>8</v>
      </c>
      <c r="I42" s="28" t="n">
        <v>0.67</v>
      </c>
      <c r="J42" s="29" t="n">
        <v>0.08</v>
      </c>
      <c r="K42" s="29" t="n">
        <v>0.92</v>
      </c>
      <c r="L42" s="30" t="n">
        <v>56.95</v>
      </c>
      <c r="M42" s="28" t="n">
        <v>0.67</v>
      </c>
      <c r="N42" s="28" t="n">
        <v>2.67</v>
      </c>
      <c r="O42" s="29" t="n">
        <v>0.23</v>
      </c>
      <c r="P42" s="29" t="n">
        <v>0.08</v>
      </c>
      <c r="Q42" s="29" t="n">
        <v>0.03</v>
      </c>
    </row>
    <row r="43">
      <c r="A43" s="26" t="n">
        <v>38</v>
      </c>
      <c r="B43" s="27" t="inlineStr">
        <is>
          <t>Jerin Kurian Varghese</t>
        </is>
      </c>
      <c r="C43" s="27" t="inlineStr">
        <is>
          <t>MECHANIC</t>
        </is>
      </c>
      <c r="D43" s="27" t="inlineStr">
        <is>
          <t>TN0204</t>
        </is>
      </c>
      <c r="E43" s="26" t="n">
        <v>24</v>
      </c>
      <c r="F43" s="28" t="n">
        <v>192</v>
      </c>
      <c r="G43" s="28" t="n">
        <v>0</v>
      </c>
      <c r="H43" s="28" t="n">
        <v>192</v>
      </c>
      <c r="I43" s="28" t="n">
        <v>172</v>
      </c>
      <c r="J43" s="29" t="n">
        <v>0.9</v>
      </c>
      <c r="K43" s="29" t="n">
        <v>0.1</v>
      </c>
      <c r="L43" s="30" t="n">
        <v>14620</v>
      </c>
      <c r="M43" s="28" t="n">
        <v>172</v>
      </c>
      <c r="N43" s="28" t="n">
        <v>220</v>
      </c>
      <c r="O43" s="29" t="n">
        <v>1.05</v>
      </c>
      <c r="P43" s="29" t="n">
        <v>0.9</v>
      </c>
      <c r="Q43" s="29" t="n">
        <v>1.03</v>
      </c>
    </row>
    <row r="44">
      <c r="A44" s="26" t="n">
        <v>39</v>
      </c>
      <c r="B44" s="27" t="inlineStr">
        <is>
          <t>Mohammed Monjur</t>
        </is>
      </c>
      <c r="C44" s="27" t="inlineStr">
        <is>
          <t>MECHANIC</t>
        </is>
      </c>
      <c r="D44" s="27" t="inlineStr">
        <is>
          <t>TN0209</t>
        </is>
      </c>
      <c r="E44" s="26" t="n">
        <v>27</v>
      </c>
      <c r="F44" s="28" t="n">
        <v>216</v>
      </c>
      <c r="G44" s="28" t="n">
        <v>0</v>
      </c>
      <c r="H44" s="28" t="n">
        <v>216</v>
      </c>
      <c r="I44" s="28" t="n">
        <v>205.22</v>
      </c>
      <c r="J44" s="29" t="n">
        <v>0.95</v>
      </c>
      <c r="K44" s="29" t="n">
        <v>0.05</v>
      </c>
      <c r="L44" s="30" t="n">
        <v>17443.7</v>
      </c>
      <c r="M44" s="28" t="n">
        <v>205.22</v>
      </c>
      <c r="N44" s="28" t="n">
        <v>259.22</v>
      </c>
      <c r="O44" s="29" t="n">
        <v>1.1</v>
      </c>
      <c r="P44" s="29" t="n">
        <v>0.95</v>
      </c>
      <c r="Q44" s="29" t="n">
        <v>1.14</v>
      </c>
    </row>
    <row r="45">
      <c r="A45" s="26" t="n">
        <v>40</v>
      </c>
      <c r="B45" s="27" t="inlineStr">
        <is>
          <t>ZEGER HAYAT MOHAMMAD ZA</t>
        </is>
      </c>
      <c r="C45" s="27" t="inlineStr">
        <is>
          <t>MECHANIC</t>
        </is>
      </c>
      <c r="D45" s="27" t="inlineStr">
        <is>
          <t>TN0210</t>
        </is>
      </c>
      <c r="E45" s="26" t="n">
        <v>26</v>
      </c>
      <c r="F45" s="28" t="n">
        <v>208</v>
      </c>
      <c r="G45" s="28" t="n">
        <v>0</v>
      </c>
      <c r="H45" s="28" t="n">
        <v>208</v>
      </c>
      <c r="I45" s="28" t="n">
        <v>143.43</v>
      </c>
      <c r="J45" s="29" t="n">
        <v>0.6899999999999999</v>
      </c>
      <c r="K45" s="29" t="n">
        <v>0.31</v>
      </c>
      <c r="L45" s="30" t="n">
        <v>12191.55</v>
      </c>
      <c r="M45" s="28" t="n">
        <v>143.43</v>
      </c>
      <c r="N45" s="28" t="n">
        <v>195.43</v>
      </c>
      <c r="O45" s="29" t="n">
        <v>0.84</v>
      </c>
      <c r="P45" s="29" t="n">
        <v>0.6899999999999999</v>
      </c>
      <c r="Q45" s="29" t="n">
        <v>0.65</v>
      </c>
    </row>
    <row r="46">
      <c r="A46" s="26" t="n">
        <v>41</v>
      </c>
      <c r="B46" s="27" t="inlineStr">
        <is>
          <t>BIJU M UNNI</t>
        </is>
      </c>
      <c r="C46" s="27" t="inlineStr">
        <is>
          <t>PAINTER</t>
        </is>
      </c>
      <c r="D46" s="27" t="inlineStr">
        <is>
          <t>TN0220</t>
        </is>
      </c>
      <c r="E46" s="26" t="n">
        <v>27</v>
      </c>
      <c r="F46" s="28" t="n">
        <v>216</v>
      </c>
      <c r="G46" s="28" t="n">
        <v>0</v>
      </c>
      <c r="H46" s="28" t="n">
        <v>216</v>
      </c>
      <c r="I46" s="28" t="n">
        <v>127</v>
      </c>
      <c r="J46" s="29" t="n">
        <v>0.59</v>
      </c>
      <c r="K46" s="29" t="n">
        <v>0.41</v>
      </c>
      <c r="L46" s="30" t="n">
        <v>10795</v>
      </c>
      <c r="M46" s="28" t="n">
        <v>127</v>
      </c>
      <c r="N46" s="28" t="n">
        <v>181</v>
      </c>
      <c r="O46" s="29" t="n">
        <v>0.74</v>
      </c>
      <c r="P46" s="29" t="n">
        <v>0.59</v>
      </c>
      <c r="Q46" s="29" t="n">
        <v>0.49</v>
      </c>
    </row>
    <row r="47">
      <c r="A47" s="26" t="n">
        <v>42</v>
      </c>
      <c r="B47" s="27" t="inlineStr">
        <is>
          <t>DIBAKAR SAHOO MURALDHAR</t>
        </is>
      </c>
      <c r="C47" s="27" t="inlineStr">
        <is>
          <t>PAINTER</t>
        </is>
      </c>
      <c r="D47" s="27" t="inlineStr">
        <is>
          <t>TN0222</t>
        </is>
      </c>
      <c r="E47" s="26" t="n">
        <v>26</v>
      </c>
      <c r="F47" s="28" t="n">
        <v>208</v>
      </c>
      <c r="G47" s="28" t="n">
        <v>0</v>
      </c>
      <c r="H47" s="28" t="n">
        <v>208</v>
      </c>
      <c r="I47" s="28" t="n">
        <v>182.33</v>
      </c>
      <c r="J47" s="29" t="n">
        <v>0.88</v>
      </c>
      <c r="K47" s="29" t="n">
        <v>0.12</v>
      </c>
      <c r="L47" s="30" t="n">
        <v>15498.05</v>
      </c>
      <c r="M47" s="28" t="n">
        <v>182.33</v>
      </c>
      <c r="N47" s="28" t="n">
        <v>234.33</v>
      </c>
      <c r="O47" s="29" t="n">
        <v>1.03</v>
      </c>
      <c r="P47" s="29" t="n">
        <v>0.88</v>
      </c>
      <c r="Q47" s="29" t="n">
        <v>0.99</v>
      </c>
    </row>
    <row r="48">
      <c r="A48" s="26" t="n">
        <v>43</v>
      </c>
      <c r="B48" s="27" t="inlineStr">
        <is>
          <t>SHAIKH MUSTAQUE ALI</t>
        </is>
      </c>
      <c r="C48" s="27" t="inlineStr">
        <is>
          <t>DENTER</t>
        </is>
      </c>
      <c r="D48" s="27" t="inlineStr">
        <is>
          <t>TN0224</t>
        </is>
      </c>
      <c r="E48" s="26" t="n">
        <v>26</v>
      </c>
      <c r="F48" s="28" t="n">
        <v>208</v>
      </c>
      <c r="G48" s="28" t="n">
        <v>0</v>
      </c>
      <c r="H48" s="28" t="n">
        <v>208</v>
      </c>
      <c r="I48" s="28" t="n">
        <v>163.43</v>
      </c>
      <c r="J48" s="29" t="n">
        <v>0.79</v>
      </c>
      <c r="K48" s="29" t="n">
        <v>0.21</v>
      </c>
      <c r="L48" s="30" t="n">
        <v>13891.55</v>
      </c>
      <c r="M48" s="28" t="n">
        <v>163.43</v>
      </c>
      <c r="N48" s="28" t="n">
        <v>215.43</v>
      </c>
      <c r="O48" s="29" t="n">
        <v>0.9399999999999999</v>
      </c>
      <c r="P48" s="29" t="n">
        <v>0.79</v>
      </c>
      <c r="Q48" s="29" t="n">
        <v>0.8100000000000001</v>
      </c>
    </row>
    <row r="49">
      <c r="A49" s="26" t="n">
        <v>44</v>
      </c>
      <c r="B49" s="27" t="inlineStr">
        <is>
          <t>ZEESHAN IHSAN ULLAH</t>
        </is>
      </c>
      <c r="C49" s="27" t="inlineStr">
        <is>
          <t>DENTER</t>
        </is>
      </c>
      <c r="D49" s="27" t="inlineStr">
        <is>
          <t>TN0226</t>
        </is>
      </c>
      <c r="E49" s="26" t="n">
        <v>27</v>
      </c>
      <c r="F49" s="28" t="n">
        <v>216</v>
      </c>
      <c r="G49" s="28" t="n">
        <v>0</v>
      </c>
      <c r="H49" s="28" t="n">
        <v>216</v>
      </c>
      <c r="I49" s="28" t="n">
        <v>199</v>
      </c>
      <c r="J49" s="29" t="n">
        <v>0.92</v>
      </c>
      <c r="K49" s="29" t="n">
        <v>0.08</v>
      </c>
      <c r="L49" s="30" t="n">
        <v>16915</v>
      </c>
      <c r="M49" s="28" t="n">
        <v>199</v>
      </c>
      <c r="N49" s="28" t="n">
        <v>253</v>
      </c>
      <c r="O49" s="29" t="n">
        <v>1.07</v>
      </c>
      <c r="P49" s="29" t="n">
        <v>0.92</v>
      </c>
      <c r="Q49" s="29" t="n">
        <v>1.08</v>
      </c>
    </row>
    <row r="50">
      <c r="A50" s="26" t="n">
        <v>45</v>
      </c>
      <c r="B50" s="27" t="inlineStr">
        <is>
          <t>MIR EJAJ ALI</t>
        </is>
      </c>
      <c r="C50" s="27" t="inlineStr">
        <is>
          <t>PAINTER</t>
        </is>
      </c>
      <c r="D50" s="27" t="inlineStr">
        <is>
          <t>TN0227</t>
        </is>
      </c>
      <c r="E50" s="26" t="n">
        <v>19</v>
      </c>
      <c r="F50" s="28" t="n">
        <v>152</v>
      </c>
      <c r="G50" s="28" t="n">
        <v>0</v>
      </c>
      <c r="H50" s="28" t="n">
        <v>152</v>
      </c>
      <c r="I50" s="28" t="n">
        <v>118.83</v>
      </c>
      <c r="J50" s="29" t="n">
        <v>0.78</v>
      </c>
      <c r="K50" s="29" t="n">
        <v>0.22</v>
      </c>
      <c r="L50" s="30" t="n">
        <v>10100.55</v>
      </c>
      <c r="M50" s="28" t="n">
        <v>118.83</v>
      </c>
      <c r="N50" s="28" t="n">
        <v>156.83</v>
      </c>
      <c r="O50" s="29" t="n">
        <v>0.93</v>
      </c>
      <c r="P50" s="29" t="n">
        <v>0.78</v>
      </c>
      <c r="Q50" s="29" t="n">
        <v>0.8100000000000001</v>
      </c>
    </row>
    <row r="51">
      <c r="A51" s="26" t="n">
        <v>46</v>
      </c>
      <c r="B51" s="27" t="inlineStr">
        <is>
          <t>SAMUEL</t>
        </is>
      </c>
      <c r="C51" s="27" t="inlineStr">
        <is>
          <t>MECHANIC</t>
        </is>
      </c>
      <c r="D51" s="27" t="inlineStr">
        <is>
          <t>TN0235</t>
        </is>
      </c>
      <c r="E51" s="26" t="n">
        <v>26</v>
      </c>
      <c r="F51" s="28" t="n">
        <v>208</v>
      </c>
      <c r="G51" s="28" t="n">
        <v>0</v>
      </c>
      <c r="H51" s="28" t="n">
        <v>208</v>
      </c>
      <c r="I51" s="28" t="n">
        <v>156.15</v>
      </c>
      <c r="J51" s="29" t="n">
        <v>0.75</v>
      </c>
      <c r="K51" s="29" t="n">
        <v>0.25</v>
      </c>
      <c r="L51" s="30" t="n">
        <v>13272.75</v>
      </c>
      <c r="M51" s="28" t="n">
        <v>156.15</v>
      </c>
      <c r="N51" s="28" t="n">
        <v>208.15</v>
      </c>
      <c r="O51" s="29" t="n">
        <v>0.9</v>
      </c>
      <c r="P51" s="29" t="n">
        <v>0.75</v>
      </c>
      <c r="Q51" s="29" t="n">
        <v>0.75</v>
      </c>
    </row>
    <row r="52">
      <c r="A52" s="26" t="n">
        <v>47</v>
      </c>
      <c r="B52" s="27" t="inlineStr">
        <is>
          <t>BILAL KHAN</t>
        </is>
      </c>
      <c r="C52" s="27" t="inlineStr">
        <is>
          <t>DENTER</t>
        </is>
      </c>
      <c r="D52" s="27" t="inlineStr">
        <is>
          <t>TN0236</t>
        </is>
      </c>
      <c r="E52" s="26" t="n">
        <v>27</v>
      </c>
      <c r="F52" s="28" t="n">
        <v>216</v>
      </c>
      <c r="G52" s="28" t="n">
        <v>0</v>
      </c>
      <c r="H52" s="28" t="n">
        <v>216</v>
      </c>
      <c r="I52" s="28" t="n">
        <v>182.67</v>
      </c>
      <c r="J52" s="29" t="n">
        <v>0.85</v>
      </c>
      <c r="K52" s="29" t="n">
        <v>0.15</v>
      </c>
      <c r="L52" s="30" t="n">
        <v>15526.95</v>
      </c>
      <c r="M52" s="28" t="n">
        <v>182.67</v>
      </c>
      <c r="N52" s="28" t="n">
        <v>236.67</v>
      </c>
      <c r="O52" s="29" t="n">
        <v>1</v>
      </c>
      <c r="P52" s="29" t="n">
        <v>0.85</v>
      </c>
      <c r="Q52" s="29" t="n">
        <v>0.93</v>
      </c>
    </row>
    <row r="53">
      <c r="A53" s="26" t="n">
        <v>48</v>
      </c>
      <c r="B53" s="27" t="inlineStr">
        <is>
          <t>Mohammad Habib Raza</t>
        </is>
      </c>
      <c r="C53" s="27" t="inlineStr">
        <is>
          <t>MECHANIC</t>
        </is>
      </c>
      <c r="D53" s="27" t="inlineStr">
        <is>
          <t>TN0238</t>
        </is>
      </c>
      <c r="E53" s="26" t="n">
        <v>28</v>
      </c>
      <c r="F53" s="28" t="n">
        <v>224</v>
      </c>
      <c r="G53" s="28" t="n">
        <v>0</v>
      </c>
      <c r="H53" s="28" t="n">
        <v>224</v>
      </c>
      <c r="I53" s="28" t="n">
        <v>221.88</v>
      </c>
      <c r="J53" s="29" t="n">
        <v>0.99</v>
      </c>
      <c r="K53" s="29" t="n">
        <v>0.01</v>
      </c>
      <c r="L53" s="30" t="n">
        <v>18859.8</v>
      </c>
      <c r="M53" s="28" t="n">
        <v>221.88</v>
      </c>
      <c r="N53" s="28" t="n">
        <v>277.88</v>
      </c>
      <c r="O53" s="29" t="n">
        <v>1.14</v>
      </c>
      <c r="P53" s="29" t="n">
        <v>0.99</v>
      </c>
      <c r="Q53" s="29" t="n">
        <v>1.23</v>
      </c>
    </row>
    <row r="54">
      <c r="A54" s="26" t="n">
        <v>49</v>
      </c>
      <c r="B54" s="27" t="inlineStr">
        <is>
          <t>HAMEED ANIYAMPARAMBIL</t>
        </is>
      </c>
      <c r="C54" s="27" t="inlineStr">
        <is>
          <t>MECHANIC</t>
        </is>
      </c>
      <c r="D54" s="27" t="inlineStr">
        <is>
          <t>TN0239</t>
        </is>
      </c>
      <c r="E54" s="26" t="n">
        <v>25</v>
      </c>
      <c r="F54" s="28" t="n">
        <v>200</v>
      </c>
      <c r="G54" s="28" t="n">
        <v>0</v>
      </c>
      <c r="H54" s="28" t="n">
        <v>200</v>
      </c>
      <c r="I54" s="28" t="n">
        <v>123.12</v>
      </c>
      <c r="J54" s="29" t="n">
        <v>0.62</v>
      </c>
      <c r="K54" s="29" t="n">
        <v>0.38</v>
      </c>
      <c r="L54" s="30" t="n">
        <v>10465.2</v>
      </c>
      <c r="M54" s="28" t="n">
        <v>123.12</v>
      </c>
      <c r="N54" s="28" t="n">
        <v>173.12</v>
      </c>
      <c r="O54" s="29" t="n">
        <v>0.77</v>
      </c>
      <c r="P54" s="29" t="n">
        <v>0.62</v>
      </c>
      <c r="Q54" s="29" t="n">
        <v>0.53</v>
      </c>
    </row>
    <row r="55">
      <c r="A55" s="26" t="n">
        <v>50</v>
      </c>
      <c r="B55" s="27" t="inlineStr">
        <is>
          <t>AMIR HUSSAIN MUHAMMED</t>
        </is>
      </c>
      <c r="C55" s="27" t="inlineStr">
        <is>
          <t>MECHANIC</t>
        </is>
      </c>
      <c r="D55" s="27" t="inlineStr">
        <is>
          <t>TN0241</t>
        </is>
      </c>
      <c r="E55" s="26" t="n">
        <v>27</v>
      </c>
      <c r="F55" s="28" t="n">
        <v>216</v>
      </c>
      <c r="G55" s="28" t="n">
        <v>0</v>
      </c>
      <c r="H55" s="28" t="n">
        <v>216</v>
      </c>
      <c r="I55" s="28" t="n">
        <v>201.72</v>
      </c>
      <c r="J55" s="29" t="n">
        <v>0.93</v>
      </c>
      <c r="K55" s="29" t="n">
        <v>0.07000000000000001</v>
      </c>
      <c r="L55" s="30" t="n">
        <v>17146.2</v>
      </c>
      <c r="M55" s="28" t="n">
        <v>201.72</v>
      </c>
      <c r="N55" s="28" t="n">
        <v>255.72</v>
      </c>
      <c r="O55" s="29" t="n">
        <v>1.08</v>
      </c>
      <c r="P55" s="29" t="n">
        <v>0.93</v>
      </c>
      <c r="Q55" s="29" t="n">
        <v>1.11</v>
      </c>
    </row>
    <row r="56">
      <c r="A56" s="26" t="n">
        <v>51</v>
      </c>
      <c r="B56" s="27" t="inlineStr">
        <is>
          <t>LUBAB UDDIN</t>
        </is>
      </c>
      <c r="C56" s="27" t="inlineStr">
        <is>
          <t>DENTER</t>
        </is>
      </c>
      <c r="D56" s="27" t="inlineStr">
        <is>
          <t>TN0242</t>
        </is>
      </c>
      <c r="E56" s="26" t="n">
        <v>24</v>
      </c>
      <c r="F56" s="28" t="n">
        <v>192</v>
      </c>
      <c r="G56" s="28" t="n">
        <v>0</v>
      </c>
      <c r="H56" s="28" t="n">
        <v>192</v>
      </c>
      <c r="I56" s="28" t="n">
        <v>134.92</v>
      </c>
      <c r="J56" s="29" t="n">
        <v>0.7</v>
      </c>
      <c r="K56" s="29" t="n">
        <v>0.3</v>
      </c>
      <c r="L56" s="30" t="n">
        <v>11468.2</v>
      </c>
      <c r="M56" s="28" t="n">
        <v>134.92</v>
      </c>
      <c r="N56" s="28" t="n">
        <v>182.92</v>
      </c>
      <c r="O56" s="29" t="n">
        <v>0.85</v>
      </c>
      <c r="P56" s="29" t="n">
        <v>0.7</v>
      </c>
      <c r="Q56" s="29" t="n">
        <v>0.67</v>
      </c>
    </row>
    <row r="57">
      <c r="A57" s="26" t="n">
        <v>52</v>
      </c>
      <c r="B57" s="27" t="inlineStr">
        <is>
          <t>MOHAMMED ALI</t>
        </is>
      </c>
      <c r="C57" s="27" t="inlineStr">
        <is>
          <t>DENTER</t>
        </is>
      </c>
      <c r="D57" s="27" t="inlineStr">
        <is>
          <t>TN0244</t>
        </is>
      </c>
      <c r="E57" s="26" t="n">
        <v>27</v>
      </c>
      <c r="F57" s="28" t="n">
        <v>216</v>
      </c>
      <c r="G57" s="28" t="n">
        <v>0</v>
      </c>
      <c r="H57" s="28" t="n">
        <v>216</v>
      </c>
      <c r="I57" s="28" t="n">
        <v>159.67</v>
      </c>
      <c r="J57" s="29" t="n">
        <v>0.74</v>
      </c>
      <c r="K57" s="29" t="n">
        <v>0.26</v>
      </c>
      <c r="L57" s="30" t="n">
        <v>13571.95</v>
      </c>
      <c r="M57" s="28" t="n">
        <v>159.67</v>
      </c>
      <c r="N57" s="28" t="n">
        <v>213.67</v>
      </c>
      <c r="O57" s="29" t="n">
        <v>0.89</v>
      </c>
      <c r="P57" s="29" t="n">
        <v>0.74</v>
      </c>
      <c r="Q57" s="29" t="n">
        <v>0.73</v>
      </c>
    </row>
    <row r="58">
      <c r="A58" s="26" t="n">
        <v>53</v>
      </c>
      <c r="B58" s="27" t="inlineStr">
        <is>
          <t>MAHMOUD MOHAMED MAHDY</t>
        </is>
      </c>
      <c r="C58" s="27" t="inlineStr">
        <is>
          <t>DENTER</t>
        </is>
      </c>
      <c r="D58" s="27" t="inlineStr">
        <is>
          <t>TN0245</t>
        </is>
      </c>
      <c r="E58" s="26" t="n">
        <v>26</v>
      </c>
      <c r="F58" s="28" t="n">
        <v>208</v>
      </c>
      <c r="G58" s="28" t="n">
        <v>0</v>
      </c>
      <c r="H58" s="28" t="n">
        <v>208</v>
      </c>
      <c r="I58" s="28" t="n">
        <v>161.1</v>
      </c>
      <c r="J58" s="29" t="n">
        <v>0.77</v>
      </c>
      <c r="K58" s="29" t="n">
        <v>0.23</v>
      </c>
      <c r="L58" s="30" t="n">
        <v>13693.5</v>
      </c>
      <c r="M58" s="28" t="n">
        <v>161.1</v>
      </c>
      <c r="N58" s="28" t="n">
        <v>213.1</v>
      </c>
      <c r="O58" s="29" t="n">
        <v>0.92</v>
      </c>
      <c r="P58" s="29" t="n">
        <v>0.77</v>
      </c>
      <c r="Q58" s="29" t="n">
        <v>0.79</v>
      </c>
    </row>
    <row r="59">
      <c r="A59" s="26" t="n">
        <v>54</v>
      </c>
      <c r="B59" s="27" t="inlineStr">
        <is>
          <t>DIN DAYAL</t>
        </is>
      </c>
      <c r="C59" s="27" t="inlineStr">
        <is>
          <t>ELECTRICIAN</t>
        </is>
      </c>
      <c r="D59" s="27" t="inlineStr">
        <is>
          <t>TN0247</t>
        </is>
      </c>
      <c r="E59" s="26" t="n">
        <v>26</v>
      </c>
      <c r="F59" s="28" t="n">
        <v>208</v>
      </c>
      <c r="G59" s="28" t="n">
        <v>0</v>
      </c>
      <c r="H59" s="28" t="n">
        <v>208</v>
      </c>
      <c r="I59" s="28" t="n">
        <v>98.81999999999999</v>
      </c>
      <c r="J59" s="29" t="n">
        <v>0.48</v>
      </c>
      <c r="K59" s="29" t="n">
        <v>0.52</v>
      </c>
      <c r="L59" s="30" t="n">
        <v>8399.700000000001</v>
      </c>
      <c r="M59" s="28" t="n">
        <v>98.81999999999999</v>
      </c>
      <c r="N59" s="28" t="n">
        <v>150.82</v>
      </c>
      <c r="O59" s="29" t="n">
        <v>0.63</v>
      </c>
      <c r="P59" s="29" t="n">
        <v>0.48</v>
      </c>
      <c r="Q59" s="29" t="n">
        <v>0.34</v>
      </c>
    </row>
    <row r="60">
      <c r="A60" s="26" t="n">
        <v>55</v>
      </c>
      <c r="B60" s="27" t="inlineStr">
        <is>
          <t>KAMAL HUSSAIN</t>
        </is>
      </c>
      <c r="C60" s="27" t="inlineStr">
        <is>
          <t>MECHANIC</t>
        </is>
      </c>
      <c r="D60" s="27" t="inlineStr">
        <is>
          <t>TN0248</t>
        </is>
      </c>
      <c r="E60" s="26" t="n">
        <v>26</v>
      </c>
      <c r="F60" s="28" t="n">
        <v>208</v>
      </c>
      <c r="G60" s="28" t="n">
        <v>0</v>
      </c>
      <c r="H60" s="28" t="n">
        <v>208</v>
      </c>
      <c r="I60" s="28" t="n">
        <v>180.02</v>
      </c>
      <c r="J60" s="29" t="n">
        <v>0.87</v>
      </c>
      <c r="K60" s="29" t="n">
        <v>0.13</v>
      </c>
      <c r="L60" s="30" t="n">
        <v>15301.7</v>
      </c>
      <c r="M60" s="28" t="n">
        <v>180.02</v>
      </c>
      <c r="N60" s="28" t="n">
        <v>232.02</v>
      </c>
      <c r="O60" s="29" t="n">
        <v>1.02</v>
      </c>
      <c r="P60" s="29" t="n">
        <v>0.87</v>
      </c>
      <c r="Q60" s="29" t="n">
        <v>0.97</v>
      </c>
    </row>
    <row r="61">
      <c r="A61" s="26" t="n">
        <v>56</v>
      </c>
      <c r="B61" s="27" t="inlineStr">
        <is>
          <t>RAIS MUHAMMAD KHAN YAR</t>
        </is>
      </c>
      <c r="C61" s="27" t="inlineStr">
        <is>
          <t>PAINTER</t>
        </is>
      </c>
      <c r="D61" s="27" t="inlineStr">
        <is>
          <t>TN0250</t>
        </is>
      </c>
      <c r="E61" s="26" t="n">
        <v>11</v>
      </c>
      <c r="F61" s="28" t="n">
        <v>88</v>
      </c>
      <c r="G61" s="28" t="n">
        <v>0</v>
      </c>
      <c r="H61" s="28" t="n">
        <v>88</v>
      </c>
      <c r="I61" s="28" t="n">
        <v>56.92</v>
      </c>
      <c r="J61" s="29" t="n">
        <v>0.65</v>
      </c>
      <c r="K61" s="29" t="n">
        <v>0.35</v>
      </c>
      <c r="L61" s="30" t="n">
        <v>4838.2</v>
      </c>
      <c r="M61" s="28" t="n">
        <v>56.92</v>
      </c>
      <c r="N61" s="28" t="n">
        <v>78.92</v>
      </c>
      <c r="O61" s="29" t="n">
        <v>0.8</v>
      </c>
      <c r="P61" s="29" t="n">
        <v>0.65</v>
      </c>
      <c r="Q61" s="29" t="n">
        <v>0.58</v>
      </c>
    </row>
    <row r="62">
      <c r="A62" s="26" t="n">
        <v>57</v>
      </c>
      <c r="B62" s="27" t="inlineStr">
        <is>
          <t>RAJEEVAN</t>
        </is>
      </c>
      <c r="C62" s="27" t="inlineStr">
        <is>
          <t>PAINTER</t>
        </is>
      </c>
      <c r="D62" s="27" t="inlineStr">
        <is>
          <t>TN0251</t>
        </is>
      </c>
      <c r="E62" s="26" t="n">
        <v>26</v>
      </c>
      <c r="F62" s="28" t="n">
        <v>208</v>
      </c>
      <c r="G62" s="28" t="n">
        <v>0</v>
      </c>
      <c r="H62" s="28" t="n">
        <v>208</v>
      </c>
      <c r="I62" s="28" t="n">
        <v>183.48</v>
      </c>
      <c r="J62" s="29" t="n">
        <v>0.88</v>
      </c>
      <c r="K62" s="29" t="n">
        <v>0.12</v>
      </c>
      <c r="L62" s="30" t="n">
        <v>15595.8</v>
      </c>
      <c r="M62" s="28" t="n">
        <v>183.48</v>
      </c>
      <c r="N62" s="28" t="n">
        <v>235.48</v>
      </c>
      <c r="O62" s="29" t="n">
        <v>1.03</v>
      </c>
      <c r="P62" s="29" t="n">
        <v>0.88</v>
      </c>
      <c r="Q62" s="29" t="n">
        <v>1</v>
      </c>
    </row>
    <row r="63">
      <c r="A63" s="26" t="n">
        <v>58</v>
      </c>
      <c r="B63" s="27" t="inlineStr">
        <is>
          <t>MOHAMMED NISAR BHURE</t>
        </is>
      </c>
      <c r="C63" s="27" t="inlineStr">
        <is>
          <t>MECHANIC</t>
        </is>
      </c>
      <c r="D63" s="27" t="inlineStr">
        <is>
          <t>TN0252</t>
        </is>
      </c>
      <c r="E63" s="26" t="n">
        <v>24</v>
      </c>
      <c r="F63" s="28" t="n">
        <v>192</v>
      </c>
      <c r="G63" s="28" t="n">
        <v>0</v>
      </c>
      <c r="H63" s="28" t="n">
        <v>192</v>
      </c>
      <c r="I63" s="28" t="n">
        <v>116.42</v>
      </c>
      <c r="J63" s="29" t="n">
        <v>0.61</v>
      </c>
      <c r="K63" s="29" t="n">
        <v>0.39</v>
      </c>
      <c r="L63" s="30" t="n">
        <v>9895.700000000001</v>
      </c>
      <c r="M63" s="28" t="n">
        <v>116.42</v>
      </c>
      <c r="N63" s="28" t="n">
        <v>164.42</v>
      </c>
      <c r="O63" s="29" t="n">
        <v>0.76</v>
      </c>
      <c r="P63" s="29" t="n">
        <v>0.61</v>
      </c>
      <c r="Q63" s="29" t="n">
        <v>0.52</v>
      </c>
    </row>
    <row r="64">
      <c r="A64" s="26" t="n">
        <v>59</v>
      </c>
      <c r="B64" s="27" t="inlineStr">
        <is>
          <t>MOHAMMED NISAR BHURE</t>
        </is>
      </c>
      <c r="C64" s="27" t="inlineStr">
        <is>
          <t>MECHANIC</t>
        </is>
      </c>
      <c r="D64" s="27" t="inlineStr">
        <is>
          <t>TN0252</t>
        </is>
      </c>
      <c r="E64" s="26" t="n">
        <v>3</v>
      </c>
      <c r="F64" s="28" t="n">
        <v>24</v>
      </c>
      <c r="G64" s="28" t="n">
        <v>0</v>
      </c>
      <c r="H64" s="28" t="n">
        <v>24</v>
      </c>
      <c r="I64" s="28" t="n">
        <v>15.03</v>
      </c>
      <c r="J64" s="29" t="n">
        <v>0.63</v>
      </c>
      <c r="K64" s="29" t="n">
        <v>0.37</v>
      </c>
      <c r="L64" s="30" t="n">
        <v>1277.55</v>
      </c>
      <c r="M64" s="28" t="n">
        <v>15.03</v>
      </c>
      <c r="N64" s="28" t="n">
        <v>21.03</v>
      </c>
      <c r="O64" s="29" t="n">
        <v>0.78</v>
      </c>
      <c r="P64" s="29" t="n">
        <v>0.63</v>
      </c>
      <c r="Q64" s="29" t="n">
        <v>0.55</v>
      </c>
    </row>
    <row r="65">
      <c r="A65" s="26" t="n">
        <v>60</v>
      </c>
      <c r="B65" s="27" t="inlineStr">
        <is>
          <t>VINODKUMAR KIZHAKKEPURA</t>
        </is>
      </c>
      <c r="C65" s="27" t="inlineStr">
        <is>
          <t>MECHANIC</t>
        </is>
      </c>
      <c r="D65" s="27" t="inlineStr">
        <is>
          <t>TN0253</t>
        </is>
      </c>
      <c r="E65" s="26" t="n">
        <v>19</v>
      </c>
      <c r="F65" s="28" t="n">
        <v>152</v>
      </c>
      <c r="G65" s="28" t="n">
        <v>0</v>
      </c>
      <c r="H65" s="28" t="n">
        <v>152</v>
      </c>
      <c r="I65" s="28" t="n">
        <v>82.56999999999999</v>
      </c>
      <c r="J65" s="29" t="n">
        <v>0.54</v>
      </c>
      <c r="K65" s="29" t="n">
        <v>0.46</v>
      </c>
      <c r="L65" s="30" t="n">
        <v>7018.45</v>
      </c>
      <c r="M65" s="28" t="n">
        <v>82.56999999999999</v>
      </c>
      <c r="N65" s="28" t="n">
        <v>120.57</v>
      </c>
      <c r="O65" s="29" t="n">
        <v>0.6899999999999999</v>
      </c>
      <c r="P65" s="29" t="n">
        <v>0.54</v>
      </c>
      <c r="Q65" s="29" t="n">
        <v>0.43</v>
      </c>
    </row>
    <row r="66">
      <c r="A66" s="26" t="n">
        <v>61</v>
      </c>
      <c r="B66" s="27" t="inlineStr">
        <is>
          <t>ABU BAKAR SIDDIQ TAJ MUHA</t>
        </is>
      </c>
      <c r="C66" s="27" t="inlineStr">
        <is>
          <t>PAINTER</t>
        </is>
      </c>
      <c r="D66" s="27" t="inlineStr">
        <is>
          <t>TN0254</t>
        </is>
      </c>
      <c r="E66" s="26" t="n">
        <v>21</v>
      </c>
      <c r="F66" s="28" t="n">
        <v>168</v>
      </c>
      <c r="G66" s="28" t="n">
        <v>0</v>
      </c>
      <c r="H66" s="28" t="n">
        <v>168</v>
      </c>
      <c r="I66" s="28" t="n">
        <v>109.75</v>
      </c>
      <c r="J66" s="29" t="n">
        <v>0.65</v>
      </c>
      <c r="K66" s="29" t="n">
        <v>0.35</v>
      </c>
      <c r="L66" s="30" t="n">
        <v>9328.75</v>
      </c>
      <c r="M66" s="28" t="n">
        <v>109.75</v>
      </c>
      <c r="N66" s="28" t="n">
        <v>151.75</v>
      </c>
      <c r="O66" s="29" t="n">
        <v>0.8</v>
      </c>
      <c r="P66" s="29" t="n">
        <v>0.65</v>
      </c>
      <c r="Q66" s="29" t="n">
        <v>0.59</v>
      </c>
    </row>
    <row r="67">
      <c r="A67" s="26" t="n">
        <v>62</v>
      </c>
      <c r="B67" s="27" t="inlineStr">
        <is>
          <t>ABU BAKAR SIDDIQ TAJ MUHA</t>
        </is>
      </c>
      <c r="C67" s="27" t="inlineStr">
        <is>
          <t>PAINTER</t>
        </is>
      </c>
      <c r="D67" s="27" t="inlineStr">
        <is>
          <t>TN0254</t>
        </is>
      </c>
      <c r="E67" s="26" t="n">
        <v>3</v>
      </c>
      <c r="F67" s="28" t="n">
        <v>24</v>
      </c>
      <c r="G67" s="28" t="n">
        <v>0</v>
      </c>
      <c r="H67" s="28" t="n">
        <v>24</v>
      </c>
      <c r="I67" s="28" t="n">
        <v>12.67</v>
      </c>
      <c r="J67" s="29" t="n">
        <v>0.53</v>
      </c>
      <c r="K67" s="29" t="n">
        <v>0.47</v>
      </c>
      <c r="L67" s="30" t="n">
        <v>1076.95</v>
      </c>
      <c r="M67" s="28" t="n">
        <v>12.67</v>
      </c>
      <c r="N67" s="28" t="n">
        <v>18.67</v>
      </c>
      <c r="O67" s="29" t="n">
        <v>0.68</v>
      </c>
      <c r="P67" s="29" t="n">
        <v>0.53</v>
      </c>
      <c r="Q67" s="29" t="n">
        <v>0.41</v>
      </c>
    </row>
    <row r="68">
      <c r="A68" s="26" t="n">
        <v>63</v>
      </c>
      <c r="B68" s="27" t="inlineStr">
        <is>
          <t>SAMUEL OFORI</t>
        </is>
      </c>
      <c r="C68" s="27" t="inlineStr">
        <is>
          <t>MECHANIC</t>
        </is>
      </c>
      <c r="D68" s="27" t="inlineStr">
        <is>
          <t>TN0256</t>
        </is>
      </c>
      <c r="E68" s="26" t="n">
        <v>27</v>
      </c>
      <c r="F68" s="28" t="n">
        <v>216</v>
      </c>
      <c r="G68" s="28" t="n">
        <v>0</v>
      </c>
      <c r="H68" s="28" t="n">
        <v>216</v>
      </c>
      <c r="I68" s="28" t="n">
        <v>161.85</v>
      </c>
      <c r="J68" s="29" t="n">
        <v>0.75</v>
      </c>
      <c r="K68" s="29" t="n">
        <v>0.25</v>
      </c>
      <c r="L68" s="30" t="n">
        <v>13757.25</v>
      </c>
      <c r="M68" s="28" t="n">
        <v>161.85</v>
      </c>
      <c r="N68" s="28" t="n">
        <v>215.85</v>
      </c>
      <c r="O68" s="29" t="n">
        <v>0.9</v>
      </c>
      <c r="P68" s="29" t="n">
        <v>0.75</v>
      </c>
      <c r="Q68" s="29" t="n">
        <v>0.75</v>
      </c>
    </row>
    <row r="69">
      <c r="A69" s="26" t="n">
        <v>64</v>
      </c>
      <c r="B69" s="27" t="inlineStr">
        <is>
          <t>SHAJADA ALI SHAIKH</t>
        </is>
      </c>
      <c r="C69" s="27" t="inlineStr">
        <is>
          <t>MECHANIC</t>
        </is>
      </c>
      <c r="D69" s="27" t="inlineStr">
        <is>
          <t>TN0257</t>
        </is>
      </c>
      <c r="E69" s="26" t="n">
        <v>27</v>
      </c>
      <c r="F69" s="28" t="n">
        <v>216</v>
      </c>
      <c r="G69" s="28" t="n">
        <v>0</v>
      </c>
      <c r="H69" s="28" t="n">
        <v>216</v>
      </c>
      <c r="I69" s="28" t="n">
        <v>200.17</v>
      </c>
      <c r="J69" s="29" t="n">
        <v>0.93</v>
      </c>
      <c r="K69" s="29" t="n">
        <v>0.07000000000000001</v>
      </c>
      <c r="L69" s="30" t="n">
        <v>17014.45</v>
      </c>
      <c r="M69" s="28" t="n">
        <v>200.17</v>
      </c>
      <c r="N69" s="28" t="n">
        <v>254.17</v>
      </c>
      <c r="O69" s="29" t="n">
        <v>1.08</v>
      </c>
      <c r="P69" s="29" t="n">
        <v>0.93</v>
      </c>
      <c r="Q69" s="29" t="n">
        <v>1.09</v>
      </c>
    </row>
    <row r="70">
      <c r="A70" s="26" t="n">
        <v>65</v>
      </c>
      <c r="B70" s="27" t="inlineStr">
        <is>
          <t>ABDULLAH NABEEL BUTT MAN</t>
        </is>
      </c>
      <c r="C70" s="27" t="inlineStr">
        <is>
          <t>ELECTRICIAN</t>
        </is>
      </c>
      <c r="D70" s="27" t="inlineStr">
        <is>
          <t>TN0258</t>
        </is>
      </c>
      <c r="E70" s="26" t="n">
        <v>27</v>
      </c>
      <c r="F70" s="28" t="n">
        <v>216</v>
      </c>
      <c r="G70" s="28" t="n">
        <v>0</v>
      </c>
      <c r="H70" s="28" t="n">
        <v>216</v>
      </c>
      <c r="I70" s="28" t="n">
        <v>116.87</v>
      </c>
      <c r="J70" s="29" t="n">
        <v>0.54</v>
      </c>
      <c r="K70" s="29" t="n">
        <v>0.46</v>
      </c>
      <c r="L70" s="30" t="n">
        <v>9933.950000000001</v>
      </c>
      <c r="M70" s="28" t="n">
        <v>116.87</v>
      </c>
      <c r="N70" s="28" t="n">
        <v>170.87</v>
      </c>
      <c r="O70" s="29" t="n">
        <v>0.6899999999999999</v>
      </c>
      <c r="P70" s="29" t="n">
        <v>0.54</v>
      </c>
      <c r="Q70" s="29" t="n">
        <v>0.43</v>
      </c>
    </row>
    <row r="71">
      <c r="A71" s="26" t="n">
        <v>66</v>
      </c>
      <c r="B71" s="27" t="inlineStr">
        <is>
          <t>MOHAMMED AWAIS ASGHAR</t>
        </is>
      </c>
      <c r="C71" s="27" t="inlineStr">
        <is>
          <t>ELECTRICIAN</t>
        </is>
      </c>
      <c r="D71" s="27" t="inlineStr">
        <is>
          <t>TN0259</t>
        </is>
      </c>
      <c r="E71" s="26" t="n">
        <v>26</v>
      </c>
      <c r="F71" s="28" t="n">
        <v>208</v>
      </c>
      <c r="G71" s="28" t="n">
        <v>0</v>
      </c>
      <c r="H71" s="28" t="n">
        <v>208</v>
      </c>
      <c r="I71" s="28" t="n">
        <v>163.5</v>
      </c>
      <c r="J71" s="29" t="n">
        <v>0.79</v>
      </c>
      <c r="K71" s="29" t="n">
        <v>0.21</v>
      </c>
      <c r="L71" s="30" t="n">
        <v>13897.5</v>
      </c>
      <c r="M71" s="28" t="n">
        <v>163.5</v>
      </c>
      <c r="N71" s="28" t="n">
        <v>215.5</v>
      </c>
      <c r="O71" s="29" t="n">
        <v>0.9399999999999999</v>
      </c>
      <c r="P71" s="29" t="n">
        <v>0.79</v>
      </c>
      <c r="Q71" s="29" t="n">
        <v>0.8100000000000001</v>
      </c>
    </row>
    <row r="72">
      <c r="A72" s="26" t="n">
        <v>67</v>
      </c>
      <c r="B72" s="27" t="inlineStr">
        <is>
          <t>ANIS ALI MIR MIR IBRAB ALI</t>
        </is>
      </c>
      <c r="C72" s="27" t="inlineStr">
        <is>
          <t>MECHANIC</t>
        </is>
      </c>
      <c r="D72" s="27" t="inlineStr">
        <is>
          <t>TN0261</t>
        </is>
      </c>
      <c r="E72" s="26" t="n">
        <v>26</v>
      </c>
      <c r="F72" s="28" t="n">
        <v>208</v>
      </c>
      <c r="G72" s="28" t="n">
        <v>0</v>
      </c>
      <c r="H72" s="28" t="n">
        <v>208</v>
      </c>
      <c r="I72" s="28" t="n">
        <v>148.05</v>
      </c>
      <c r="J72" s="29" t="n">
        <v>0.71</v>
      </c>
      <c r="K72" s="29" t="n">
        <v>0.29</v>
      </c>
      <c r="L72" s="30" t="n">
        <v>12584.25</v>
      </c>
      <c r="M72" s="28" t="n">
        <v>148.05</v>
      </c>
      <c r="N72" s="28" t="n">
        <v>200.05</v>
      </c>
      <c r="O72" s="29" t="n">
        <v>0.86</v>
      </c>
      <c r="P72" s="29" t="n">
        <v>0.71</v>
      </c>
      <c r="Q72" s="29" t="n">
        <v>0.68</v>
      </c>
    </row>
    <row r="73">
      <c r="A73" s="26" t="n">
        <v>68</v>
      </c>
      <c r="B73" s="27" t="inlineStr">
        <is>
          <t>SABIR ALI MUHAMMAD ALI</t>
        </is>
      </c>
      <c r="C73" s="27" t="inlineStr">
        <is>
          <t>PAINTER</t>
        </is>
      </c>
      <c r="D73" s="27" t="inlineStr">
        <is>
          <t>TN0265</t>
        </is>
      </c>
      <c r="E73" s="26" t="n">
        <v>27</v>
      </c>
      <c r="F73" s="28" t="n">
        <v>216</v>
      </c>
      <c r="G73" s="28" t="n">
        <v>0</v>
      </c>
      <c r="H73" s="28" t="n">
        <v>216</v>
      </c>
      <c r="I73" s="28" t="n">
        <v>165.65</v>
      </c>
      <c r="J73" s="29" t="n">
        <v>0.77</v>
      </c>
      <c r="K73" s="29" t="n">
        <v>0.23</v>
      </c>
      <c r="L73" s="30" t="n">
        <v>14080.25</v>
      </c>
      <c r="M73" s="28" t="n">
        <v>165.65</v>
      </c>
      <c r="N73" s="28" t="n">
        <v>219.65</v>
      </c>
      <c r="O73" s="29" t="n">
        <v>0.92</v>
      </c>
      <c r="P73" s="29" t="n">
        <v>0.77</v>
      </c>
      <c r="Q73" s="29" t="n">
        <v>0.78</v>
      </c>
    </row>
    <row r="74">
      <c r="A74" s="26" t="n">
        <v>69</v>
      </c>
      <c r="B74" s="27" t="inlineStr">
        <is>
          <t>ARISTOTE TSOPKENG LEWEPO</t>
        </is>
      </c>
      <c r="C74" s="27" t="inlineStr">
        <is>
          <t>MECHANIC</t>
        </is>
      </c>
      <c r="D74" s="27" t="inlineStr">
        <is>
          <t>TN0266</t>
        </is>
      </c>
      <c r="E74" s="26" t="n">
        <v>26</v>
      </c>
      <c r="F74" s="28" t="n">
        <v>208</v>
      </c>
      <c r="G74" s="28" t="n">
        <v>0</v>
      </c>
      <c r="H74" s="28" t="n">
        <v>208</v>
      </c>
      <c r="I74" s="28" t="n">
        <v>151.03</v>
      </c>
      <c r="J74" s="29" t="n">
        <v>0.73</v>
      </c>
      <c r="K74" s="29" t="n">
        <v>0.27</v>
      </c>
      <c r="L74" s="30" t="n">
        <v>12837.55</v>
      </c>
      <c r="M74" s="28" t="n">
        <v>151.03</v>
      </c>
      <c r="N74" s="28" t="n">
        <v>203.03</v>
      </c>
      <c r="O74" s="29" t="n">
        <v>0.88</v>
      </c>
      <c r="P74" s="29" t="n">
        <v>0.73</v>
      </c>
      <c r="Q74" s="29" t="n">
        <v>0.71</v>
      </c>
    </row>
    <row r="75">
      <c r="A75" s="26" t="n">
        <v>70</v>
      </c>
      <c r="B75" s="27" t="inlineStr">
        <is>
          <t>ALAM ZEB KHAN</t>
        </is>
      </c>
      <c r="C75" s="27" t="inlineStr">
        <is>
          <t>MECHANIC</t>
        </is>
      </c>
      <c r="D75" s="27" t="inlineStr">
        <is>
          <t>TN0268</t>
        </is>
      </c>
      <c r="E75" s="26" t="n">
        <v>26</v>
      </c>
      <c r="F75" s="28" t="n">
        <v>208</v>
      </c>
      <c r="G75" s="28" t="n">
        <v>0</v>
      </c>
      <c r="H75" s="28" t="n">
        <v>208</v>
      </c>
      <c r="I75" s="28" t="n">
        <v>110.95</v>
      </c>
      <c r="J75" s="29" t="n">
        <v>0.53</v>
      </c>
      <c r="K75" s="29" t="n">
        <v>0.47</v>
      </c>
      <c r="L75" s="30" t="n">
        <v>9430.75</v>
      </c>
      <c r="M75" s="28" t="n">
        <v>110.95</v>
      </c>
      <c r="N75" s="28" t="n">
        <v>162.95</v>
      </c>
      <c r="O75" s="29" t="n">
        <v>0.68</v>
      </c>
      <c r="P75" s="29" t="n">
        <v>0.53</v>
      </c>
      <c r="Q75" s="29" t="n">
        <v>0.42</v>
      </c>
    </row>
    <row r="76">
      <c r="A76" s="26" t="n">
        <v>71</v>
      </c>
      <c r="B76" s="27" t="inlineStr">
        <is>
          <t>Abdulla shekh</t>
        </is>
      </c>
      <c r="C76" s="27" t="inlineStr">
        <is>
          <t>PAINTER</t>
        </is>
      </c>
      <c r="D76" s="27" t="inlineStr">
        <is>
          <t>TN0269</t>
        </is>
      </c>
      <c r="E76" s="26" t="n">
        <v>27</v>
      </c>
      <c r="F76" s="28" t="n">
        <v>216</v>
      </c>
      <c r="G76" s="28" t="n">
        <v>0</v>
      </c>
      <c r="H76" s="28" t="n">
        <v>216</v>
      </c>
      <c r="I76" s="28" t="n">
        <v>192.9</v>
      </c>
      <c r="J76" s="29" t="n">
        <v>0.89</v>
      </c>
      <c r="K76" s="29" t="n">
        <v>0.11</v>
      </c>
      <c r="L76" s="30" t="n">
        <v>16396.5</v>
      </c>
      <c r="M76" s="28" t="n">
        <v>192.9</v>
      </c>
      <c r="N76" s="28" t="n">
        <v>246.9</v>
      </c>
      <c r="O76" s="29" t="n">
        <v>1.04</v>
      </c>
      <c r="P76" s="29" t="n">
        <v>0.89</v>
      </c>
      <c r="Q76" s="29" t="n">
        <v>1.02</v>
      </c>
    </row>
    <row r="77">
      <c r="A77" s="26" t="n">
        <v>72</v>
      </c>
      <c r="B77" s="27" t="inlineStr">
        <is>
          <t>Abdel Rahman</t>
        </is>
      </c>
      <c r="C77" s="27" t="inlineStr">
        <is>
          <t>PAINTER</t>
        </is>
      </c>
      <c r="D77" s="27" t="inlineStr">
        <is>
          <t>TN0270</t>
        </is>
      </c>
      <c r="E77" s="26" t="n">
        <v>25</v>
      </c>
      <c r="F77" s="28" t="n">
        <v>200</v>
      </c>
      <c r="G77" s="28" t="n">
        <v>0</v>
      </c>
      <c r="H77" s="28" t="n">
        <v>200</v>
      </c>
      <c r="I77" s="28" t="n">
        <v>156.6</v>
      </c>
      <c r="J77" s="29" t="n">
        <v>0.78</v>
      </c>
      <c r="K77" s="29" t="n">
        <v>0.22</v>
      </c>
      <c r="L77" s="30" t="n">
        <v>13311</v>
      </c>
      <c r="M77" s="28" t="n">
        <v>156.6</v>
      </c>
      <c r="N77" s="28" t="n">
        <v>206.6</v>
      </c>
      <c r="O77" s="29" t="n">
        <v>0.93</v>
      </c>
      <c r="P77" s="29" t="n">
        <v>0.78</v>
      </c>
      <c r="Q77" s="29" t="n">
        <v>0.8100000000000001</v>
      </c>
    </row>
    <row r="78">
      <c r="A78" s="26" t="n">
        <v>73</v>
      </c>
      <c r="B78" s="27" t="inlineStr">
        <is>
          <t>RENJITH RADHAKRISHNAN NA</t>
        </is>
      </c>
      <c r="C78" s="27" t="inlineStr">
        <is>
          <t>PAINTER</t>
        </is>
      </c>
      <c r="D78" s="27" t="inlineStr">
        <is>
          <t>TN0272</t>
        </is>
      </c>
      <c r="E78" s="26" t="n">
        <v>12</v>
      </c>
      <c r="F78" s="28" t="n">
        <v>96</v>
      </c>
      <c r="G78" s="28" t="n">
        <v>0</v>
      </c>
      <c r="H78" s="28" t="n">
        <v>96</v>
      </c>
      <c r="I78" s="28" t="n">
        <v>70.58</v>
      </c>
      <c r="J78" s="29" t="n">
        <v>0.74</v>
      </c>
      <c r="K78" s="29" t="n">
        <v>0.26</v>
      </c>
      <c r="L78" s="30" t="n">
        <v>5999.3</v>
      </c>
      <c r="M78" s="28" t="n">
        <v>70.58</v>
      </c>
      <c r="N78" s="28" t="n">
        <v>94.58</v>
      </c>
      <c r="O78" s="29" t="n">
        <v>0.89</v>
      </c>
      <c r="P78" s="29" t="n">
        <v>0.74</v>
      </c>
      <c r="Q78" s="29" t="n">
        <v>0.72</v>
      </c>
    </row>
    <row r="79">
      <c r="A79" s="26" t="n">
        <v>74</v>
      </c>
      <c r="B79" s="27" t="inlineStr">
        <is>
          <t>RENJITH RADHAKRISHNAN NA</t>
        </is>
      </c>
      <c r="C79" s="27" t="inlineStr">
        <is>
          <t>PAINTER</t>
        </is>
      </c>
      <c r="D79" s="27" t="inlineStr">
        <is>
          <t>TN0272</t>
        </is>
      </c>
      <c r="E79" s="26" t="n">
        <v>10</v>
      </c>
      <c r="F79" s="28" t="n">
        <v>80</v>
      </c>
      <c r="G79" s="28" t="n">
        <v>0</v>
      </c>
      <c r="H79" s="28" t="n">
        <v>80</v>
      </c>
      <c r="I79" s="28" t="n">
        <v>62.08</v>
      </c>
      <c r="J79" s="29" t="n">
        <v>0.78</v>
      </c>
      <c r="K79" s="29" t="n">
        <v>0.22</v>
      </c>
      <c r="L79" s="30" t="n">
        <v>5276.8</v>
      </c>
      <c r="M79" s="28" t="n">
        <v>62.08</v>
      </c>
      <c r="N79" s="28" t="n">
        <v>82.08</v>
      </c>
      <c r="O79" s="29" t="n">
        <v>0.93</v>
      </c>
      <c r="P79" s="29" t="n">
        <v>0.78</v>
      </c>
      <c r="Q79" s="29" t="n">
        <v>0.8</v>
      </c>
    </row>
    <row r="80">
      <c r="A80" s="26" t="n">
        <v>75</v>
      </c>
      <c r="B80" s="27" t="inlineStr">
        <is>
          <t>AHID SHAIKH SHAIKH</t>
        </is>
      </c>
      <c r="C80" s="27" t="inlineStr">
        <is>
          <t>PAINTER</t>
        </is>
      </c>
      <c r="D80" s="27" t="inlineStr">
        <is>
          <t>TN0273</t>
        </is>
      </c>
      <c r="E80" s="26" t="n">
        <v>23</v>
      </c>
      <c r="F80" s="28" t="n">
        <v>184</v>
      </c>
      <c r="G80" s="28" t="n">
        <v>0</v>
      </c>
      <c r="H80" s="28" t="n">
        <v>184</v>
      </c>
      <c r="I80" s="28" t="n">
        <v>136.58</v>
      </c>
      <c r="J80" s="29" t="n">
        <v>0.74</v>
      </c>
      <c r="K80" s="29" t="n">
        <v>0.26</v>
      </c>
      <c r="L80" s="30" t="n">
        <v>11609.3</v>
      </c>
      <c r="M80" s="28" t="n">
        <v>136.58</v>
      </c>
      <c r="N80" s="28" t="n">
        <v>182.58</v>
      </c>
      <c r="O80" s="29" t="n">
        <v>0.89</v>
      </c>
      <c r="P80" s="29" t="n">
        <v>0.74</v>
      </c>
      <c r="Q80" s="29" t="n">
        <v>0.74</v>
      </c>
    </row>
    <row r="81">
      <c r="A81" s="26" t="n">
        <v>76</v>
      </c>
      <c r="B81" s="27" t="inlineStr">
        <is>
          <t>IBRAHIM KHAN</t>
        </is>
      </c>
      <c r="C81" s="27" t="inlineStr">
        <is>
          <t>DENTER</t>
        </is>
      </c>
      <c r="D81" s="27" t="inlineStr">
        <is>
          <t>TN0274</t>
        </is>
      </c>
      <c r="E81" s="26" t="n">
        <v>23</v>
      </c>
      <c r="F81" s="28" t="n">
        <v>184</v>
      </c>
      <c r="G81" s="28" t="n">
        <v>0</v>
      </c>
      <c r="H81" s="28" t="n">
        <v>184</v>
      </c>
      <c r="I81" s="28" t="n">
        <v>130.17</v>
      </c>
      <c r="J81" s="29" t="n">
        <v>0.71</v>
      </c>
      <c r="K81" s="29" t="n">
        <v>0.29</v>
      </c>
      <c r="L81" s="30" t="n">
        <v>11064.45</v>
      </c>
      <c r="M81" s="28" t="n">
        <v>130.17</v>
      </c>
      <c r="N81" s="28" t="n">
        <v>176.17</v>
      </c>
      <c r="O81" s="29" t="n">
        <v>0.86</v>
      </c>
      <c r="P81" s="29" t="n">
        <v>0.71</v>
      </c>
      <c r="Q81" s="29" t="n">
        <v>0.68</v>
      </c>
    </row>
    <row r="82">
      <c r="A82" s="26" t="n">
        <v>77</v>
      </c>
      <c r="B82" s="27" t="inlineStr">
        <is>
          <t>MUHAMMED SUFIAN QURESHI</t>
        </is>
      </c>
      <c r="C82" s="27" t="inlineStr">
        <is>
          <t>DENTER</t>
        </is>
      </c>
      <c r="D82" s="27" t="inlineStr">
        <is>
          <t>TN0275</t>
        </is>
      </c>
      <c r="E82" s="26" t="n">
        <v>27</v>
      </c>
      <c r="F82" s="28" t="n">
        <v>216</v>
      </c>
      <c r="G82" s="28" t="n">
        <v>0</v>
      </c>
      <c r="H82" s="28" t="n">
        <v>216</v>
      </c>
      <c r="I82" s="28" t="n">
        <v>157.18</v>
      </c>
      <c r="J82" s="29" t="n">
        <v>0.73</v>
      </c>
      <c r="K82" s="29" t="n">
        <v>0.27</v>
      </c>
      <c r="L82" s="30" t="n">
        <v>13360.3</v>
      </c>
      <c r="M82" s="28" t="n">
        <v>157.18</v>
      </c>
      <c r="N82" s="28" t="n">
        <v>211.18</v>
      </c>
      <c r="O82" s="29" t="n">
        <v>0.88</v>
      </c>
      <c r="P82" s="29" t="n">
        <v>0.73</v>
      </c>
      <c r="Q82" s="29" t="n">
        <v>0.71</v>
      </c>
    </row>
    <row r="83">
      <c r="A83" s="26" t="n">
        <v>78</v>
      </c>
      <c r="B83" s="27" t="inlineStr">
        <is>
          <t>RAGHU</t>
        </is>
      </c>
      <c r="C83" s="27" t="inlineStr">
        <is>
          <t>ELECTRICIAN</t>
        </is>
      </c>
      <c r="D83" s="27" t="inlineStr">
        <is>
          <t>TN0276</t>
        </is>
      </c>
      <c r="E83" s="26" t="n">
        <v>26</v>
      </c>
      <c r="F83" s="28" t="n">
        <v>208</v>
      </c>
      <c r="G83" s="28" t="n">
        <v>0</v>
      </c>
      <c r="H83" s="28" t="n">
        <v>208</v>
      </c>
      <c r="I83" s="28" t="n">
        <v>154.82</v>
      </c>
      <c r="J83" s="29" t="n">
        <v>0.74</v>
      </c>
      <c r="K83" s="29" t="n">
        <v>0.26</v>
      </c>
      <c r="L83" s="30" t="n">
        <v>13159.7</v>
      </c>
      <c r="M83" s="28" t="n">
        <v>154.82</v>
      </c>
      <c r="N83" s="28" t="n">
        <v>206.82</v>
      </c>
      <c r="O83" s="29" t="n">
        <v>0.89</v>
      </c>
      <c r="P83" s="29" t="n">
        <v>0.74</v>
      </c>
      <c r="Q83" s="29" t="n">
        <v>0.74</v>
      </c>
    </row>
    <row r="84">
      <c r="A84" s="26" t="n">
        <v>79</v>
      </c>
      <c r="B84" s="27" t="inlineStr">
        <is>
          <t>MAHAFUJ ALI MOHAMMAD</t>
        </is>
      </c>
      <c r="C84" s="27" t="inlineStr">
        <is>
          <t>PAINTER</t>
        </is>
      </c>
      <c r="D84" s="27" t="inlineStr">
        <is>
          <t>TN0277</t>
        </is>
      </c>
      <c r="E84" s="26" t="n">
        <v>27</v>
      </c>
      <c r="F84" s="28" t="n">
        <v>216</v>
      </c>
      <c r="G84" s="28" t="n">
        <v>0</v>
      </c>
      <c r="H84" s="28" t="n">
        <v>216</v>
      </c>
      <c r="I84" s="28" t="n">
        <v>167.3</v>
      </c>
      <c r="J84" s="29" t="n">
        <v>0.77</v>
      </c>
      <c r="K84" s="29" t="n">
        <v>0.23</v>
      </c>
      <c r="L84" s="30" t="n">
        <v>14220.5</v>
      </c>
      <c r="M84" s="28" t="n">
        <v>167.3</v>
      </c>
      <c r="N84" s="28" t="n">
        <v>221.3</v>
      </c>
      <c r="O84" s="29" t="n">
        <v>0.92</v>
      </c>
      <c r="P84" s="29" t="n">
        <v>0.77</v>
      </c>
      <c r="Q84" s="29" t="n">
        <v>0.79</v>
      </c>
    </row>
    <row r="85">
      <c r="A85" s="26" t="n">
        <v>80</v>
      </c>
      <c r="B85" s="27" t="inlineStr">
        <is>
          <t>SK MAKSOOD</t>
        </is>
      </c>
      <c r="C85" s="27" t="inlineStr">
        <is>
          <t>PAINTER</t>
        </is>
      </c>
      <c r="D85" s="27" t="inlineStr">
        <is>
          <t>TN0280</t>
        </is>
      </c>
      <c r="E85" s="26" t="n">
        <v>24</v>
      </c>
      <c r="F85" s="28" t="n">
        <v>192</v>
      </c>
      <c r="G85" s="28" t="n">
        <v>0</v>
      </c>
      <c r="H85" s="28" t="n">
        <v>192</v>
      </c>
      <c r="I85" s="28" t="n">
        <v>161.92</v>
      </c>
      <c r="J85" s="29" t="n">
        <v>0.84</v>
      </c>
      <c r="K85" s="29" t="n">
        <v>0.16</v>
      </c>
      <c r="L85" s="30" t="n">
        <v>13763.2</v>
      </c>
      <c r="M85" s="28" t="n">
        <v>161.92</v>
      </c>
      <c r="N85" s="28" t="n">
        <v>209.92</v>
      </c>
      <c r="O85" s="29" t="n">
        <v>0.99</v>
      </c>
      <c r="P85" s="29" t="n">
        <v>0.84</v>
      </c>
      <c r="Q85" s="29" t="n">
        <v>0.92</v>
      </c>
    </row>
    <row r="86">
      <c r="A86" s="26" t="n">
        <v>81</v>
      </c>
      <c r="B86" s="27" t="inlineStr">
        <is>
          <t>umar sadiq abdur rahman</t>
        </is>
      </c>
      <c r="C86" s="27" t="inlineStr">
        <is>
          <t>DENTER</t>
        </is>
      </c>
      <c r="D86" s="27" t="inlineStr">
        <is>
          <t>TN0281</t>
        </is>
      </c>
      <c r="E86" s="26" t="n">
        <v>27</v>
      </c>
      <c r="F86" s="28" t="n">
        <v>216</v>
      </c>
      <c r="G86" s="28" t="n">
        <v>0</v>
      </c>
      <c r="H86" s="28" t="n">
        <v>216</v>
      </c>
      <c r="I86" s="28" t="n">
        <v>198.48</v>
      </c>
      <c r="J86" s="29" t="n">
        <v>0.92</v>
      </c>
      <c r="K86" s="29" t="n">
        <v>0.08</v>
      </c>
      <c r="L86" s="30" t="n">
        <v>16870.8</v>
      </c>
      <c r="M86" s="28" t="n">
        <v>198.48</v>
      </c>
      <c r="N86" s="28" t="n">
        <v>252.48</v>
      </c>
      <c r="O86" s="29" t="n">
        <v>1.07</v>
      </c>
      <c r="P86" s="29" t="n">
        <v>0.92</v>
      </c>
      <c r="Q86" s="29" t="n">
        <v>1.07</v>
      </c>
    </row>
    <row r="87">
      <c r="A87" s="26" t="n">
        <v>82</v>
      </c>
      <c r="B87" s="27" t="inlineStr">
        <is>
          <t>DHANESH E. DEVADAS</t>
        </is>
      </c>
      <c r="C87" s="27" t="inlineStr">
        <is>
          <t>MECHANIC</t>
        </is>
      </c>
      <c r="D87" s="27" t="inlineStr">
        <is>
          <t>TN0283</t>
        </is>
      </c>
      <c r="E87" s="26" t="n">
        <v>25</v>
      </c>
      <c r="F87" s="28" t="n">
        <v>200</v>
      </c>
      <c r="G87" s="28" t="n">
        <v>0</v>
      </c>
      <c r="H87" s="28" t="n">
        <v>200</v>
      </c>
      <c r="I87" s="28" t="n">
        <v>63.8</v>
      </c>
      <c r="J87" s="29" t="n">
        <v>0.32</v>
      </c>
      <c r="K87" s="29" t="n">
        <v>0.68</v>
      </c>
      <c r="L87" s="30" t="n">
        <v>5423</v>
      </c>
      <c r="M87" s="28" t="n">
        <v>63.8</v>
      </c>
      <c r="N87" s="28" t="n">
        <v>113.8</v>
      </c>
      <c r="O87" s="29" t="n">
        <v>0.47</v>
      </c>
      <c r="P87" s="29" t="n">
        <v>0.32</v>
      </c>
      <c r="Q87" s="29" t="n">
        <v>0.18</v>
      </c>
    </row>
    <row r="88">
      <c r="A88" s="26" t="n">
        <v>83</v>
      </c>
      <c r="B88" s="27" t="inlineStr">
        <is>
          <t>Emmanuel Koranteng</t>
        </is>
      </c>
      <c r="C88" s="27" t="inlineStr">
        <is>
          <t>ELECTRICIAN</t>
        </is>
      </c>
      <c r="D88" s="27" t="inlineStr">
        <is>
          <t>TN0285</t>
        </is>
      </c>
      <c r="E88" s="26" t="n">
        <v>24</v>
      </c>
      <c r="F88" s="28" t="n">
        <v>192</v>
      </c>
      <c r="G88" s="28" t="n">
        <v>0</v>
      </c>
      <c r="H88" s="28" t="n">
        <v>192</v>
      </c>
      <c r="I88" s="28" t="n">
        <v>132.72</v>
      </c>
      <c r="J88" s="29" t="n">
        <v>0.6899999999999999</v>
      </c>
      <c r="K88" s="29" t="n">
        <v>0.31</v>
      </c>
      <c r="L88" s="30" t="n">
        <v>11281.2</v>
      </c>
      <c r="M88" s="28" t="n">
        <v>132.72</v>
      </c>
      <c r="N88" s="28" t="n">
        <v>180.72</v>
      </c>
      <c r="O88" s="29" t="n">
        <v>0.84</v>
      </c>
      <c r="P88" s="29" t="n">
        <v>0.6899999999999999</v>
      </c>
      <c r="Q88" s="29" t="n">
        <v>0.65</v>
      </c>
    </row>
    <row r="90">
      <c r="A90" s="19" t="n"/>
      <c r="B90" s="20" t="inlineStr">
        <is>
          <t>TOTAL / AVG</t>
        </is>
      </c>
      <c r="C90" s="19" t="n"/>
      <c r="D90" s="19" t="n"/>
      <c r="E90" s="21">
        <f>SUM(E6:E88)</f>
        <v/>
      </c>
      <c r="F90" s="21">
        <f>SUM(F6:F88)</f>
        <v/>
      </c>
      <c r="G90" s="21">
        <f>SUM(G6:G88)</f>
        <v/>
      </c>
      <c r="H90" s="21">
        <f>SUM(H6:H88)</f>
        <v/>
      </c>
      <c r="I90" s="21">
        <f>SUM(I6:I88)</f>
        <v/>
      </c>
      <c r="J90" s="22">
        <f>AVERAGE(J6:J88)</f>
        <v/>
      </c>
      <c r="K90" s="22">
        <f>AVERAGE(K6:K88)</f>
        <v/>
      </c>
      <c r="L90" s="23">
        <f>SUM(L6:L88)</f>
        <v/>
      </c>
      <c r="M90" s="21">
        <f>SUM(M6:M88)</f>
        <v/>
      </c>
      <c r="N90" s="21">
        <f>SUM(N6:N88)</f>
        <v/>
      </c>
      <c r="O90" s="22">
        <f>AVERAGE(O6:O88)</f>
        <v/>
      </c>
      <c r="P90" s="22">
        <f>AVERAGE(P6:P88)</f>
        <v/>
      </c>
      <c r="Q90" s="22">
        <f>AVERAGE(Q6:Q88)</f>
        <v/>
      </c>
    </row>
  </sheetData>
  <autoFilter ref="A5:Q88"/>
  <mergeCells count="3">
    <mergeCell ref="B2:Q2"/>
    <mergeCell ref="I1:M1"/>
    <mergeCell ref="A1:H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Q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1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3" customWidth="1" min="14" max="14"/>
    <col width="9" customWidth="1" min="15" max="15"/>
    <col width="9" customWidth="1" min="16" max="16"/>
    <col width="9" customWidth="1" min="17" max="17"/>
  </cols>
  <sheetData>
    <row r="1">
      <c r="A1" s="9" t="inlineStr">
        <is>
          <t>Pioneer Car Service Center</t>
        </is>
      </c>
      <c r="I1" s="9" t="inlineStr">
        <is>
          <t>Technicians KPI's Report</t>
        </is>
      </c>
      <c r="N1" s="10" t="inlineStr">
        <is>
          <t>Period:</t>
        </is>
      </c>
      <c r="O1" s="10" t="inlineStr">
        <is>
          <t>Aug-2026</t>
        </is>
      </c>
    </row>
    <row r="2">
      <c r="A2" s="2" t="inlineStr">
        <is>
          <t>Data status:</t>
        </is>
      </c>
      <c r="B2" s="11" t="inlineStr">
        <is>
          <t>SIMULATED / ESTIMATED - realistic values based on Jul-2026 baseline</t>
        </is>
      </c>
    </row>
    <row r="5" ht="34" customHeight="1">
      <c r="A5" s="12" t="inlineStr">
        <is>
          <t>S.No</t>
        </is>
      </c>
      <c r="B5" s="12" t="inlineStr">
        <is>
          <t>Technician</t>
        </is>
      </c>
      <c r="C5" s="12" t="inlineStr">
        <is>
          <t>Designation</t>
        </is>
      </c>
      <c r="D5" s="12" t="inlineStr">
        <is>
          <t>Tech ID</t>
        </is>
      </c>
      <c r="E5" s="12" t="inlineStr">
        <is>
          <t>Days Present</t>
        </is>
      </c>
      <c r="F5" s="12" t="inlineStr">
        <is>
          <t>Avail. Hrs</t>
        </is>
      </c>
      <c r="G5" s="12" t="inlineStr">
        <is>
          <t>OT</t>
        </is>
      </c>
      <c r="H5" s="12" t="inlineStr">
        <is>
          <t>Total Hrs</t>
        </is>
      </c>
      <c r="I5" s="12" t="inlineStr">
        <is>
          <t>Worked Hrs</t>
        </is>
      </c>
      <c r="J5" s="12" t="inlineStr">
        <is>
          <t>Prod HRS (%)</t>
        </is>
      </c>
      <c r="K5" s="12" t="inlineStr">
        <is>
          <t>Idle HRS (%)</t>
        </is>
      </c>
      <c r="L5" s="12" t="inlineStr">
        <is>
          <t>Billed Value (AED)</t>
        </is>
      </c>
      <c r="M5" s="12" t="inlineStr">
        <is>
          <t>Billed HRS</t>
        </is>
      </c>
      <c r="N5" s="12" t="inlineStr">
        <is>
          <t>Billed Hours</t>
        </is>
      </c>
      <c r="O5" s="12" t="inlineStr">
        <is>
          <t>U%</t>
        </is>
      </c>
      <c r="P5" s="12" t="inlineStr">
        <is>
          <t>P%</t>
        </is>
      </c>
      <c r="Q5" s="12" t="inlineStr">
        <is>
          <t>E%</t>
        </is>
      </c>
    </row>
    <row r="6">
      <c r="A6" s="13" t="n">
        <v>1</v>
      </c>
      <c r="B6" s="14" t="inlineStr">
        <is>
          <t>GERVAS LEONARD</t>
        </is>
      </c>
      <c r="C6" s="14" t="inlineStr">
        <is>
          <t>DENTER</t>
        </is>
      </c>
      <c r="D6" s="14" t="inlineStr">
        <is>
          <t>TN0015</t>
        </is>
      </c>
      <c r="E6" s="13" t="n">
        <v>27</v>
      </c>
      <c r="F6" s="15">
        <f>E6*8</f>
        <v/>
      </c>
      <c r="G6" s="16" t="n">
        <v>0</v>
      </c>
      <c r="H6" s="15">
        <f>F6+G6</f>
        <v/>
      </c>
      <c r="I6" s="16" t="n">
        <v>177.25</v>
      </c>
      <c r="J6" s="17">
        <f>IFERROR(I6/H6,0)</f>
        <v/>
      </c>
      <c r="K6" s="17">
        <f>MAX(0,1-J6)</f>
        <v/>
      </c>
      <c r="L6" s="18" t="n">
        <v>14975.18</v>
      </c>
      <c r="M6" s="16" t="n">
        <v>177.25</v>
      </c>
      <c r="N6" s="15">
        <f>M6+E6*2</f>
        <v/>
      </c>
      <c r="O6" s="17">
        <f>MIN(1.25,J6+15%)</f>
        <v/>
      </c>
      <c r="P6" s="17">
        <f>J6</f>
        <v/>
      </c>
      <c r="Q6" s="17">
        <f>MIN(1.25,O6*P6/90%)</f>
        <v/>
      </c>
    </row>
    <row r="7">
      <c r="A7" s="13" t="n">
        <v>2</v>
      </c>
      <c r="B7" s="14" t="inlineStr">
        <is>
          <t>ATHUMANI HAMAD NGODA</t>
        </is>
      </c>
      <c r="C7" s="14" t="inlineStr">
        <is>
          <t>PAINTER</t>
        </is>
      </c>
      <c r="D7" s="14" t="inlineStr">
        <is>
          <t>TN0018</t>
        </is>
      </c>
      <c r="E7" s="13" t="n">
        <v>26</v>
      </c>
      <c r="F7" s="15">
        <f>E7*8</f>
        <v/>
      </c>
      <c r="G7" s="16" t="n">
        <v>2</v>
      </c>
      <c r="H7" s="15">
        <f>F7+G7</f>
        <v/>
      </c>
      <c r="I7" s="16" t="n">
        <v>188.66</v>
      </c>
      <c r="J7" s="17">
        <f>IFERROR(I7/H7,0)</f>
        <v/>
      </c>
      <c r="K7" s="17">
        <f>MAX(0,1-J7)</f>
        <v/>
      </c>
      <c r="L7" s="18" t="n">
        <v>15818.5</v>
      </c>
      <c r="M7" s="16" t="n">
        <v>188.66</v>
      </c>
      <c r="N7" s="15">
        <f>M7+E7*2</f>
        <v/>
      </c>
      <c r="O7" s="17">
        <f>MIN(1.25,J7+15%)</f>
        <v/>
      </c>
      <c r="P7" s="17">
        <f>J7</f>
        <v/>
      </c>
      <c r="Q7" s="17">
        <f>MIN(1.25,O7*P7/90%)</f>
        <v/>
      </c>
    </row>
    <row r="8">
      <c r="A8" s="13" t="n">
        <v>3</v>
      </c>
      <c r="B8" s="14" t="inlineStr">
        <is>
          <t>SAMIRULLAH Sheikh</t>
        </is>
      </c>
      <c r="C8" s="14" t="inlineStr">
        <is>
          <t>PAINTER</t>
        </is>
      </c>
      <c r="D8" s="14" t="inlineStr">
        <is>
          <t>TN0020</t>
        </is>
      </c>
      <c r="E8" s="13" t="n">
        <v>26</v>
      </c>
      <c r="F8" s="15">
        <f>E8*8</f>
        <v/>
      </c>
      <c r="G8" s="16" t="n">
        <v>1</v>
      </c>
      <c r="H8" s="15">
        <f>F8+G8</f>
        <v/>
      </c>
      <c r="I8" s="16" t="n">
        <v>190.24</v>
      </c>
      <c r="J8" s="17">
        <f>IFERROR(I8/H8,0)</f>
        <v/>
      </c>
      <c r="K8" s="17">
        <f>MAX(0,1-J8)</f>
        <v/>
      </c>
      <c r="L8" s="18" t="n">
        <v>15903.66</v>
      </c>
      <c r="M8" s="16" t="n">
        <v>190.24</v>
      </c>
      <c r="N8" s="15">
        <f>M8+E8*2</f>
        <v/>
      </c>
      <c r="O8" s="17">
        <f>MIN(1.25,J8+15%)</f>
        <v/>
      </c>
      <c r="P8" s="17">
        <f>J8</f>
        <v/>
      </c>
      <c r="Q8" s="17">
        <f>MIN(1.25,O8*P8/90%)</f>
        <v/>
      </c>
    </row>
    <row r="9">
      <c r="A9" s="13" t="n">
        <v>4</v>
      </c>
      <c r="B9" s="14" t="inlineStr">
        <is>
          <t>BRUNO STEPHANO MASASI</t>
        </is>
      </c>
      <c r="C9" s="14" t="inlineStr">
        <is>
          <t>MECHANIC</t>
        </is>
      </c>
      <c r="D9" s="14" t="inlineStr">
        <is>
          <t>TN0023</t>
        </is>
      </c>
      <c r="E9" s="13" t="n">
        <v>27</v>
      </c>
      <c r="F9" s="15">
        <f>E9*8</f>
        <v/>
      </c>
      <c r="G9" s="16" t="n">
        <v>1</v>
      </c>
      <c r="H9" s="15">
        <f>F9+G9</f>
        <v/>
      </c>
      <c r="I9" s="16" t="n">
        <v>207.13</v>
      </c>
      <c r="J9" s="17">
        <f>IFERROR(I9/H9,0)</f>
        <v/>
      </c>
      <c r="K9" s="17">
        <f>MAX(0,1-J9)</f>
        <v/>
      </c>
      <c r="L9" s="18" t="n">
        <v>17765.62</v>
      </c>
      <c r="M9" s="16" t="n">
        <v>207.13</v>
      </c>
      <c r="N9" s="15">
        <f>M9+E9*2</f>
        <v/>
      </c>
      <c r="O9" s="17">
        <f>MIN(1.25,J9+15%)</f>
        <v/>
      </c>
      <c r="P9" s="17">
        <f>J9</f>
        <v/>
      </c>
      <c r="Q9" s="17">
        <f>MIN(1.25,O9*P9/90%)</f>
        <v/>
      </c>
    </row>
    <row r="10">
      <c r="A10" s="13" t="n">
        <v>5</v>
      </c>
      <c r="B10" s="14" t="inlineStr">
        <is>
          <t>JUMANNE ABDUL</t>
        </is>
      </c>
      <c r="C10" s="14" t="inlineStr">
        <is>
          <t>PAINTER</t>
        </is>
      </c>
      <c r="D10" s="14" t="inlineStr">
        <is>
          <t>TN0025</t>
        </is>
      </c>
      <c r="E10" s="13" t="n">
        <v>27</v>
      </c>
      <c r="F10" s="15">
        <f>E10*8</f>
        <v/>
      </c>
      <c r="G10" s="16" t="n">
        <v>0</v>
      </c>
      <c r="H10" s="15">
        <f>F10+G10</f>
        <v/>
      </c>
      <c r="I10" s="16" t="n">
        <v>182.63</v>
      </c>
      <c r="J10" s="17">
        <f>IFERROR(I10/H10,0)</f>
        <v/>
      </c>
      <c r="K10" s="17">
        <f>MAX(0,1-J10)</f>
        <v/>
      </c>
      <c r="L10" s="18" t="n">
        <v>15787.56</v>
      </c>
      <c r="M10" s="16" t="n">
        <v>182.63</v>
      </c>
      <c r="N10" s="15">
        <f>M10+E10*2</f>
        <v/>
      </c>
      <c r="O10" s="17">
        <f>MIN(1.25,J10+15%)</f>
        <v/>
      </c>
      <c r="P10" s="17">
        <f>J10</f>
        <v/>
      </c>
      <c r="Q10" s="17">
        <f>MIN(1.25,O10*P10/90%)</f>
        <v/>
      </c>
    </row>
    <row r="11">
      <c r="A11" s="13" t="n">
        <v>6</v>
      </c>
      <c r="B11" s="14" t="inlineStr">
        <is>
          <t>Ally Bakali Kufikili</t>
        </is>
      </c>
      <c r="C11" s="14" t="inlineStr">
        <is>
          <t>PAINTER</t>
        </is>
      </c>
      <c r="D11" s="14" t="inlineStr">
        <is>
          <t>TN0027</t>
        </is>
      </c>
      <c r="E11" s="13" t="n">
        <v>2</v>
      </c>
      <c r="F11" s="15">
        <f>E11*8</f>
        <v/>
      </c>
      <c r="G11" s="16" t="n">
        <v>0</v>
      </c>
      <c r="H11" s="15">
        <f>F11+G11</f>
        <v/>
      </c>
      <c r="I11" s="16" t="n">
        <v>14.69</v>
      </c>
      <c r="J11" s="17">
        <f>IFERROR(I11/H11,0)</f>
        <v/>
      </c>
      <c r="K11" s="17">
        <f>MAX(0,1-J11)</f>
        <v/>
      </c>
      <c r="L11" s="18" t="n">
        <v>1244.08</v>
      </c>
      <c r="M11" s="16" t="n">
        <v>14.69</v>
      </c>
      <c r="N11" s="15">
        <f>M11+E11*2</f>
        <v/>
      </c>
      <c r="O11" s="17">
        <f>MIN(1.25,J11+15%)</f>
        <v/>
      </c>
      <c r="P11" s="17">
        <f>J11</f>
        <v/>
      </c>
      <c r="Q11" s="17">
        <f>MIN(1.25,O11*P11/90%)</f>
        <v/>
      </c>
    </row>
    <row r="12">
      <c r="A12" s="13" t="n">
        <v>7</v>
      </c>
      <c r="B12" s="14" t="inlineStr">
        <is>
          <t>Daudi Khafani Mrisho</t>
        </is>
      </c>
      <c r="C12" s="14" t="inlineStr">
        <is>
          <t>PAINTER</t>
        </is>
      </c>
      <c r="D12" s="14" t="inlineStr">
        <is>
          <t>TN0028</t>
        </is>
      </c>
      <c r="E12" s="13" t="n">
        <v>26</v>
      </c>
      <c r="F12" s="15">
        <f>E12*8</f>
        <v/>
      </c>
      <c r="G12" s="16" t="n">
        <v>2</v>
      </c>
      <c r="H12" s="15">
        <f>F12+G12</f>
        <v/>
      </c>
      <c r="I12" s="16" t="n">
        <v>177.06</v>
      </c>
      <c r="J12" s="17">
        <f>IFERROR(I12/H12,0)</f>
        <v/>
      </c>
      <c r="K12" s="17">
        <f>MAX(0,1-J12)</f>
        <v/>
      </c>
      <c r="L12" s="18" t="n">
        <v>14688.67</v>
      </c>
      <c r="M12" s="16" t="n">
        <v>177.06</v>
      </c>
      <c r="N12" s="15">
        <f>M12+E12*2</f>
        <v/>
      </c>
      <c r="O12" s="17">
        <f>MIN(1.25,J12+15%)</f>
        <v/>
      </c>
      <c r="P12" s="17">
        <f>J12</f>
        <v/>
      </c>
      <c r="Q12" s="17">
        <f>MIN(1.25,O12*P12/90%)</f>
        <v/>
      </c>
    </row>
    <row r="13">
      <c r="A13" s="13" t="n">
        <v>8</v>
      </c>
      <c r="B13" s="14" t="inlineStr">
        <is>
          <t>Aboo Khan Babu Khan</t>
        </is>
      </c>
      <c r="C13" s="14" t="inlineStr">
        <is>
          <t>PAINTER</t>
        </is>
      </c>
      <c r="D13" s="14" t="inlineStr">
        <is>
          <t>TN0041</t>
        </is>
      </c>
      <c r="E13" s="13" t="n">
        <v>25</v>
      </c>
      <c r="F13" s="15">
        <f>E13*8</f>
        <v/>
      </c>
      <c r="G13" s="16" t="n">
        <v>0</v>
      </c>
      <c r="H13" s="15">
        <f>F13+G13</f>
        <v/>
      </c>
      <c r="I13" s="16" t="n">
        <v>161.19</v>
      </c>
      <c r="J13" s="17">
        <f>IFERROR(I13/H13,0)</f>
        <v/>
      </c>
      <c r="K13" s="17">
        <f>MAX(0,1-J13)</f>
        <v/>
      </c>
      <c r="L13" s="18" t="n">
        <v>13767.67</v>
      </c>
      <c r="M13" s="16" t="n">
        <v>161.19</v>
      </c>
      <c r="N13" s="15">
        <f>M13+E13*2</f>
        <v/>
      </c>
      <c r="O13" s="17">
        <f>MIN(1.25,J13+15%)</f>
        <v/>
      </c>
      <c r="P13" s="17">
        <f>J13</f>
        <v/>
      </c>
      <c r="Q13" s="17">
        <f>MIN(1.25,O13*P13/90%)</f>
        <v/>
      </c>
    </row>
    <row r="14">
      <c r="A14" s="13" t="n">
        <v>9</v>
      </c>
      <c r="B14" s="14" t="inlineStr">
        <is>
          <t>AFZAL ALI</t>
        </is>
      </c>
      <c r="C14" s="14" t="inlineStr">
        <is>
          <t>DENTER</t>
        </is>
      </c>
      <c r="D14" s="14" t="inlineStr">
        <is>
          <t>TN0046</t>
        </is>
      </c>
      <c r="E14" s="13" t="n">
        <v>25</v>
      </c>
      <c r="F14" s="15">
        <f>E14*8</f>
        <v/>
      </c>
      <c r="G14" s="16" t="n">
        <v>4</v>
      </c>
      <c r="H14" s="15">
        <f>F14+G14</f>
        <v/>
      </c>
      <c r="I14" s="16" t="n">
        <v>162.41</v>
      </c>
      <c r="J14" s="17">
        <f>IFERROR(I14/H14,0)</f>
        <v/>
      </c>
      <c r="K14" s="17">
        <f>MAX(0,1-J14)</f>
        <v/>
      </c>
      <c r="L14" s="18" t="n">
        <v>13913.34</v>
      </c>
      <c r="M14" s="16" t="n">
        <v>162.41</v>
      </c>
      <c r="N14" s="15">
        <f>M14+E14*2</f>
        <v/>
      </c>
      <c r="O14" s="17">
        <f>MIN(1.25,J14+15%)</f>
        <v/>
      </c>
      <c r="P14" s="17">
        <f>J14</f>
        <v/>
      </c>
      <c r="Q14" s="17">
        <f>MIN(1.25,O14*P14/90%)</f>
        <v/>
      </c>
    </row>
    <row r="15">
      <c r="A15" s="13" t="n">
        <v>10</v>
      </c>
      <c r="B15" s="14" t="inlineStr">
        <is>
          <t>ALEX LAL</t>
        </is>
      </c>
      <c r="C15" s="14" t="inlineStr">
        <is>
          <t>DENTER</t>
        </is>
      </c>
      <c r="D15" s="14" t="inlineStr">
        <is>
          <t>TN0047</t>
        </is>
      </c>
      <c r="E15" s="13" t="n">
        <v>26</v>
      </c>
      <c r="F15" s="15">
        <f>E15*8</f>
        <v/>
      </c>
      <c r="G15" s="16" t="n">
        <v>1</v>
      </c>
      <c r="H15" s="15">
        <f>F15+G15</f>
        <v/>
      </c>
      <c r="I15" s="16" t="n">
        <v>182.61</v>
      </c>
      <c r="J15" s="17">
        <f>IFERROR(I15/H15,0)</f>
        <v/>
      </c>
      <c r="K15" s="17">
        <f>MAX(0,1-J15)</f>
        <v/>
      </c>
      <c r="L15" s="18" t="n">
        <v>15164.37</v>
      </c>
      <c r="M15" s="16" t="n">
        <v>182.61</v>
      </c>
      <c r="N15" s="15">
        <f>M15+E15*2</f>
        <v/>
      </c>
      <c r="O15" s="17">
        <f>MIN(1.25,J15+15%)</f>
        <v/>
      </c>
      <c r="P15" s="17">
        <f>J15</f>
        <v/>
      </c>
      <c r="Q15" s="17">
        <f>MIN(1.25,O15*P15/90%)</f>
        <v/>
      </c>
    </row>
    <row r="16">
      <c r="A16" s="13" t="n">
        <v>11</v>
      </c>
      <c r="B16" s="14" t="inlineStr">
        <is>
          <t>MOHAMMAD ALMAGIR</t>
        </is>
      </c>
      <c r="C16" s="14" t="inlineStr">
        <is>
          <t>MECHANIC</t>
        </is>
      </c>
      <c r="D16" s="14" t="inlineStr">
        <is>
          <t>TN0055</t>
        </is>
      </c>
      <c r="E16" s="13" t="n">
        <v>12</v>
      </c>
      <c r="F16" s="15">
        <f>E16*8</f>
        <v/>
      </c>
      <c r="G16" s="16" t="n">
        <v>0</v>
      </c>
      <c r="H16" s="15">
        <f>F16+G16</f>
        <v/>
      </c>
      <c r="I16" s="16" t="n">
        <v>36.81</v>
      </c>
      <c r="J16" s="17">
        <f>IFERROR(I16/H16,0)</f>
        <v/>
      </c>
      <c r="K16" s="17">
        <f>MAX(0,1-J16)</f>
        <v/>
      </c>
      <c r="L16" s="18" t="n">
        <v>3083.24</v>
      </c>
      <c r="M16" s="16" t="n">
        <v>36.81</v>
      </c>
      <c r="N16" s="15">
        <f>M16+E16*2</f>
        <v/>
      </c>
      <c r="O16" s="17">
        <f>MIN(1.25,J16+15%)</f>
        <v/>
      </c>
      <c r="P16" s="17">
        <f>J16</f>
        <v/>
      </c>
      <c r="Q16" s="17">
        <f>MIN(1.25,O16*P16/90%)</f>
        <v/>
      </c>
    </row>
    <row r="17">
      <c r="A17" s="13" t="n">
        <v>12</v>
      </c>
      <c r="B17" s="14" t="inlineStr">
        <is>
          <t>ADESH BARUA</t>
        </is>
      </c>
      <c r="C17" s="14" t="inlineStr">
        <is>
          <t>ELECTRICIAN</t>
        </is>
      </c>
      <c r="D17" s="14" t="inlineStr">
        <is>
          <t>TN0064</t>
        </is>
      </c>
      <c r="E17" s="13" t="n">
        <v>27</v>
      </c>
      <c r="F17" s="15">
        <f>E17*8</f>
        <v/>
      </c>
      <c r="G17" s="16" t="n">
        <v>2</v>
      </c>
      <c r="H17" s="15">
        <f>F17+G17</f>
        <v/>
      </c>
      <c r="I17" s="16" t="n">
        <v>181.85</v>
      </c>
      <c r="J17" s="17">
        <f>IFERROR(I17/H17,0)</f>
        <v/>
      </c>
      <c r="K17" s="17">
        <f>MAX(0,1-J17)</f>
        <v/>
      </c>
      <c r="L17" s="18" t="n">
        <v>15216.95</v>
      </c>
      <c r="M17" s="16" t="n">
        <v>181.85</v>
      </c>
      <c r="N17" s="15">
        <f>M17+E17*2</f>
        <v/>
      </c>
      <c r="O17" s="17">
        <f>MIN(1.25,J17+15%)</f>
        <v/>
      </c>
      <c r="P17" s="17">
        <f>J17</f>
        <v/>
      </c>
      <c r="Q17" s="17">
        <f>MIN(1.25,O17*P17/90%)</f>
        <v/>
      </c>
    </row>
    <row r="18">
      <c r="A18" s="13" t="n">
        <v>13</v>
      </c>
      <c r="B18" s="14" t="inlineStr">
        <is>
          <t>BIDYADHAR BHUYAN</t>
        </is>
      </c>
      <c r="C18" s="14" t="inlineStr">
        <is>
          <t>PAINTER</t>
        </is>
      </c>
      <c r="D18" s="14" t="inlineStr">
        <is>
          <t>TN0067</t>
        </is>
      </c>
      <c r="E18" s="13" t="n">
        <v>27</v>
      </c>
      <c r="F18" s="15">
        <f>E18*8</f>
        <v/>
      </c>
      <c r="G18" s="16" t="n">
        <v>0</v>
      </c>
      <c r="H18" s="15">
        <f>F18+G18</f>
        <v/>
      </c>
      <c r="I18" s="16" t="n">
        <v>166.6</v>
      </c>
      <c r="J18" s="17">
        <f>IFERROR(I18/H18,0)</f>
        <v/>
      </c>
      <c r="K18" s="17">
        <f>MAX(0,1-J18)</f>
        <v/>
      </c>
      <c r="L18" s="18" t="n">
        <v>13954.96</v>
      </c>
      <c r="M18" s="16" t="n">
        <v>166.6</v>
      </c>
      <c r="N18" s="15">
        <f>M18+E18*2</f>
        <v/>
      </c>
      <c r="O18" s="17">
        <f>MIN(1.25,J18+15%)</f>
        <v/>
      </c>
      <c r="P18" s="17">
        <f>J18</f>
        <v/>
      </c>
      <c r="Q18" s="17">
        <f>MIN(1.25,O18*P18/90%)</f>
        <v/>
      </c>
    </row>
    <row r="19">
      <c r="A19" s="13" t="n">
        <v>14</v>
      </c>
      <c r="B19" s="14" t="inlineStr">
        <is>
          <t>MOHAMMAD EHTESHAM</t>
        </is>
      </c>
      <c r="C19" s="14" t="inlineStr">
        <is>
          <t>PAINTER</t>
        </is>
      </c>
      <c r="D19" s="14" t="inlineStr">
        <is>
          <t>TN0069</t>
        </is>
      </c>
      <c r="E19" s="13" t="n">
        <v>27</v>
      </c>
      <c r="F19" s="15">
        <f>E19*8</f>
        <v/>
      </c>
      <c r="G19" s="16" t="n">
        <v>0</v>
      </c>
      <c r="H19" s="15">
        <f>F19+G19</f>
        <v/>
      </c>
      <c r="I19" s="16" t="n">
        <v>195.53</v>
      </c>
      <c r="J19" s="17">
        <f>IFERROR(I19/H19,0)</f>
        <v/>
      </c>
      <c r="K19" s="17">
        <f>MAX(0,1-J19)</f>
        <v/>
      </c>
      <c r="L19" s="18" t="n">
        <v>16569.52</v>
      </c>
      <c r="M19" s="16" t="n">
        <v>195.53</v>
      </c>
      <c r="N19" s="15">
        <f>M19+E19*2</f>
        <v/>
      </c>
      <c r="O19" s="17">
        <f>MIN(1.25,J19+15%)</f>
        <v/>
      </c>
      <c r="P19" s="17">
        <f>J19</f>
        <v/>
      </c>
      <c r="Q19" s="17">
        <f>MIN(1.25,O19*P19/90%)</f>
        <v/>
      </c>
    </row>
    <row r="20">
      <c r="A20" s="13" t="n">
        <v>15</v>
      </c>
      <c r="B20" s="14" t="inlineStr">
        <is>
          <t>SHAZADA ALI</t>
        </is>
      </c>
      <c r="C20" s="14" t="inlineStr">
        <is>
          <t>DENTER</t>
        </is>
      </c>
      <c r="D20" s="14" t="inlineStr">
        <is>
          <t>TN0072</t>
        </is>
      </c>
      <c r="E20" s="13" t="n">
        <v>27</v>
      </c>
      <c r="F20" s="15">
        <f>E20*8</f>
        <v/>
      </c>
      <c r="G20" s="16" t="n">
        <v>1</v>
      </c>
      <c r="H20" s="15">
        <f>F20+G20</f>
        <v/>
      </c>
      <c r="I20" s="16" t="n">
        <v>205.95</v>
      </c>
      <c r="J20" s="17">
        <f>IFERROR(I20/H20,0)</f>
        <v/>
      </c>
      <c r="K20" s="17">
        <f>MAX(0,1-J20)</f>
        <v/>
      </c>
      <c r="L20" s="18" t="n">
        <v>17346</v>
      </c>
      <c r="M20" s="16" t="n">
        <v>205.95</v>
      </c>
      <c r="N20" s="15">
        <f>M20+E20*2</f>
        <v/>
      </c>
      <c r="O20" s="17">
        <f>MIN(1.25,J20+15%)</f>
        <v/>
      </c>
      <c r="P20" s="17">
        <f>J20</f>
        <v/>
      </c>
      <c r="Q20" s="17">
        <f>MIN(1.25,O20*P20/90%)</f>
        <v/>
      </c>
    </row>
    <row r="21">
      <c r="A21" s="13" t="n">
        <v>16</v>
      </c>
      <c r="B21" s="14" t="inlineStr">
        <is>
          <t>DIVAKAREN</t>
        </is>
      </c>
      <c r="C21" s="14" t="inlineStr">
        <is>
          <t>ELECTRICIAN</t>
        </is>
      </c>
      <c r="D21" s="14" t="inlineStr">
        <is>
          <t>TN0073</t>
        </is>
      </c>
      <c r="E21" s="13" t="n">
        <v>27</v>
      </c>
      <c r="F21" s="15">
        <f>E21*8</f>
        <v/>
      </c>
      <c r="G21" s="16" t="n">
        <v>0</v>
      </c>
      <c r="H21" s="15">
        <f>F21+G21</f>
        <v/>
      </c>
      <c r="I21" s="16" t="n">
        <v>126.08</v>
      </c>
      <c r="J21" s="17">
        <f>IFERROR(I21/H21,0)</f>
        <v/>
      </c>
      <c r="K21" s="17">
        <f>MAX(0,1-J21)</f>
        <v/>
      </c>
      <c r="L21" s="18" t="n">
        <v>10697.27</v>
      </c>
      <c r="M21" s="16" t="n">
        <v>126.08</v>
      </c>
      <c r="N21" s="15">
        <f>M21+E21*2</f>
        <v/>
      </c>
      <c r="O21" s="17">
        <f>MIN(1.25,J21+15%)</f>
        <v/>
      </c>
      <c r="P21" s="17">
        <f>J21</f>
        <v/>
      </c>
      <c r="Q21" s="17">
        <f>MIN(1.25,O21*P21/90%)</f>
        <v/>
      </c>
    </row>
    <row r="22">
      <c r="A22" s="13" t="n">
        <v>17</v>
      </c>
      <c r="B22" s="14" t="inlineStr">
        <is>
          <t>RAGHIN KUVVAKKAT</t>
        </is>
      </c>
      <c r="C22" s="14" t="inlineStr">
        <is>
          <t>MECHANIC</t>
        </is>
      </c>
      <c r="D22" s="14" t="inlineStr">
        <is>
          <t>TN0082</t>
        </is>
      </c>
      <c r="E22" s="13" t="n">
        <v>27</v>
      </c>
      <c r="F22" s="15">
        <f>E22*8</f>
        <v/>
      </c>
      <c r="G22" s="16" t="n">
        <v>0</v>
      </c>
      <c r="H22" s="15">
        <f>F22+G22</f>
        <v/>
      </c>
      <c r="I22" s="16" t="n">
        <v>153.51</v>
      </c>
      <c r="J22" s="17">
        <f>IFERROR(I22/H22,0)</f>
        <v/>
      </c>
      <c r="K22" s="17">
        <f>MAX(0,1-J22)</f>
        <v/>
      </c>
      <c r="L22" s="18" t="n">
        <v>12800.95</v>
      </c>
      <c r="M22" s="16" t="n">
        <v>153.51</v>
      </c>
      <c r="N22" s="15">
        <f>M22+E22*2</f>
        <v/>
      </c>
      <c r="O22" s="17">
        <f>MIN(1.25,J22+15%)</f>
        <v/>
      </c>
      <c r="P22" s="17">
        <f>J22</f>
        <v/>
      </c>
      <c r="Q22" s="17">
        <f>MIN(1.25,O22*P22/90%)</f>
        <v/>
      </c>
    </row>
    <row r="23">
      <c r="A23" s="13" t="n">
        <v>18</v>
      </c>
      <c r="B23" s="14" t="inlineStr">
        <is>
          <t>MARLON LANDICHO</t>
        </is>
      </c>
      <c r="C23" s="14" t="inlineStr">
        <is>
          <t>MECHANIC</t>
        </is>
      </c>
      <c r="D23" s="14" t="inlineStr">
        <is>
          <t>TN0089</t>
        </is>
      </c>
      <c r="E23" s="13" t="n">
        <v>25</v>
      </c>
      <c r="F23" s="15">
        <f>E23*8</f>
        <v/>
      </c>
      <c r="G23" s="16" t="n">
        <v>0</v>
      </c>
      <c r="H23" s="15">
        <f>F23+G23</f>
        <v/>
      </c>
      <c r="I23" s="16" t="n">
        <v>185</v>
      </c>
      <c r="J23" s="17">
        <f>IFERROR(I23/H23,0)</f>
        <v/>
      </c>
      <c r="K23" s="17">
        <f>MAX(0,1-J23)</f>
        <v/>
      </c>
      <c r="L23" s="18" t="n">
        <v>15429.65</v>
      </c>
      <c r="M23" s="16" t="n">
        <v>185</v>
      </c>
      <c r="N23" s="15">
        <f>M23+E23*2</f>
        <v/>
      </c>
      <c r="O23" s="17">
        <f>MIN(1.25,J23+15%)</f>
        <v/>
      </c>
      <c r="P23" s="17">
        <f>J23</f>
        <v/>
      </c>
      <c r="Q23" s="17">
        <f>MIN(1.25,O23*P23/90%)</f>
        <v/>
      </c>
    </row>
    <row r="24">
      <c r="A24" s="13" t="n">
        <v>19</v>
      </c>
      <c r="B24" s="14" t="inlineStr">
        <is>
          <t>LIJO SAJAN DANIEL</t>
        </is>
      </c>
      <c r="C24" s="14" t="inlineStr">
        <is>
          <t>MECHANIC</t>
        </is>
      </c>
      <c r="D24" s="14" t="inlineStr">
        <is>
          <t>TN0092</t>
        </is>
      </c>
      <c r="E24" s="13" t="n">
        <v>25</v>
      </c>
      <c r="F24" s="15">
        <f>E24*8</f>
        <v/>
      </c>
      <c r="G24" s="16" t="n">
        <v>0</v>
      </c>
      <c r="H24" s="15">
        <f>F24+G24</f>
        <v/>
      </c>
      <c r="I24" s="16" t="n">
        <v>164.72</v>
      </c>
      <c r="J24" s="17">
        <f>IFERROR(I24/H24,0)</f>
        <v/>
      </c>
      <c r="K24" s="17">
        <f>MAX(0,1-J24)</f>
        <v/>
      </c>
      <c r="L24" s="18" t="n">
        <v>13878.78</v>
      </c>
      <c r="M24" s="16" t="n">
        <v>164.72</v>
      </c>
      <c r="N24" s="15">
        <f>M24+E24*2</f>
        <v/>
      </c>
      <c r="O24" s="17">
        <f>MIN(1.25,J24+15%)</f>
        <v/>
      </c>
      <c r="P24" s="17">
        <f>J24</f>
        <v/>
      </c>
      <c r="Q24" s="17">
        <f>MIN(1.25,O24*P24/90%)</f>
        <v/>
      </c>
    </row>
    <row r="25">
      <c r="A25" s="13" t="n">
        <v>20</v>
      </c>
      <c r="B25" s="14" t="inlineStr">
        <is>
          <t>WASSIM AKKARI</t>
        </is>
      </c>
      <c r="C25" s="14" t="inlineStr">
        <is>
          <t>TYRE TECHNICIAN</t>
        </is>
      </c>
      <c r="D25" s="14" t="inlineStr">
        <is>
          <t>TN0096</t>
        </is>
      </c>
      <c r="E25" s="13" t="n">
        <v>27</v>
      </c>
      <c r="F25" s="15">
        <f>E25*8</f>
        <v/>
      </c>
      <c r="G25" s="16" t="n">
        <v>4</v>
      </c>
      <c r="H25" s="15">
        <f>F25+G25</f>
        <v/>
      </c>
      <c r="I25" s="16" t="n">
        <v>148.53</v>
      </c>
      <c r="J25" s="17">
        <f>IFERROR(I25/H25,0)</f>
        <v/>
      </c>
      <c r="K25" s="17">
        <f>MAX(0,1-J25)</f>
        <v/>
      </c>
      <c r="L25" s="18" t="n">
        <v>12835.76</v>
      </c>
      <c r="M25" s="16" t="n">
        <v>148.53</v>
      </c>
      <c r="N25" s="15">
        <f>M25+E25*2</f>
        <v/>
      </c>
      <c r="O25" s="17">
        <f>MIN(1.25,J25+15%)</f>
        <v/>
      </c>
      <c r="P25" s="17">
        <f>J25</f>
        <v/>
      </c>
      <c r="Q25" s="17">
        <f>MIN(1.25,O25*P25/90%)</f>
        <v/>
      </c>
    </row>
    <row r="26">
      <c r="A26" s="13" t="n">
        <v>21</v>
      </c>
      <c r="B26" s="14" t="inlineStr">
        <is>
          <t>MUHAMMAD NADEEM</t>
        </is>
      </c>
      <c r="C26" s="14" t="inlineStr">
        <is>
          <t>MECHANIC</t>
        </is>
      </c>
      <c r="D26" s="14" t="inlineStr">
        <is>
          <t>TN0107</t>
        </is>
      </c>
      <c r="E26" s="13" t="n">
        <v>25</v>
      </c>
      <c r="F26" s="15">
        <f>E26*8</f>
        <v/>
      </c>
      <c r="G26" s="16" t="n">
        <v>0</v>
      </c>
      <c r="H26" s="15">
        <f>F26+G26</f>
        <v/>
      </c>
      <c r="I26" s="16" t="n">
        <v>191.79</v>
      </c>
      <c r="J26" s="17">
        <f>IFERROR(I26/H26,0)</f>
        <v/>
      </c>
      <c r="K26" s="17">
        <f>MAX(0,1-J26)</f>
        <v/>
      </c>
      <c r="L26" s="18" t="n">
        <v>16450.54</v>
      </c>
      <c r="M26" s="16" t="n">
        <v>191.79</v>
      </c>
      <c r="N26" s="15">
        <f>M26+E26*2</f>
        <v/>
      </c>
      <c r="O26" s="17">
        <f>MIN(1.25,J26+15%)</f>
        <v/>
      </c>
      <c r="P26" s="17">
        <f>J26</f>
        <v/>
      </c>
      <c r="Q26" s="17">
        <f>MIN(1.25,O26*P26/90%)</f>
        <v/>
      </c>
    </row>
    <row r="27">
      <c r="A27" s="13" t="n">
        <v>22</v>
      </c>
      <c r="B27" s="14" t="inlineStr">
        <is>
          <t>SURESH NATRAJAN</t>
        </is>
      </c>
      <c r="C27" s="14" t="inlineStr">
        <is>
          <t>TYRE TECHNICIAN</t>
        </is>
      </c>
      <c r="D27" s="14" t="inlineStr">
        <is>
          <t>TN0109</t>
        </is>
      </c>
      <c r="E27" s="13" t="n">
        <v>27</v>
      </c>
      <c r="F27" s="15">
        <f>E27*8</f>
        <v/>
      </c>
      <c r="G27" s="16" t="n">
        <v>0</v>
      </c>
      <c r="H27" s="15">
        <f>F27+G27</f>
        <v/>
      </c>
      <c r="I27" s="16" t="n">
        <v>196.07</v>
      </c>
      <c r="J27" s="17">
        <f>IFERROR(I27/H27,0)</f>
        <v/>
      </c>
      <c r="K27" s="17">
        <f>MAX(0,1-J27)</f>
        <v/>
      </c>
      <c r="L27" s="18" t="n">
        <v>16529.71</v>
      </c>
      <c r="M27" s="16" t="n">
        <v>196.07</v>
      </c>
      <c r="N27" s="15">
        <f>M27+E27*2</f>
        <v/>
      </c>
      <c r="O27" s="17">
        <f>MIN(1.25,J27+15%)</f>
        <v/>
      </c>
      <c r="P27" s="17">
        <f>J27</f>
        <v/>
      </c>
      <c r="Q27" s="17">
        <f>MIN(1.25,O27*P27/90%)</f>
        <v/>
      </c>
    </row>
    <row r="28">
      <c r="A28" s="13" t="n">
        <v>23</v>
      </c>
      <c r="B28" s="14" t="inlineStr">
        <is>
          <t>NIKHIL VARKEY</t>
        </is>
      </c>
      <c r="C28" s="14" t="inlineStr">
        <is>
          <t>ELECTRICIAN</t>
        </is>
      </c>
      <c r="D28" s="14" t="inlineStr">
        <is>
          <t>TN0114</t>
        </is>
      </c>
      <c r="E28" s="13" t="n">
        <v>26</v>
      </c>
      <c r="F28" s="15">
        <f>E28*8</f>
        <v/>
      </c>
      <c r="G28" s="16" t="n">
        <v>4</v>
      </c>
      <c r="H28" s="15">
        <f>F28+G28</f>
        <v/>
      </c>
      <c r="I28" s="16" t="n">
        <v>110.19</v>
      </c>
      <c r="J28" s="17">
        <f>IFERROR(I28/H28,0)</f>
        <v/>
      </c>
      <c r="K28" s="17">
        <f>MAX(0,1-J28)</f>
        <v/>
      </c>
      <c r="L28" s="18" t="n">
        <v>9576.040000000001</v>
      </c>
      <c r="M28" s="16" t="n">
        <v>110.19</v>
      </c>
      <c r="N28" s="15">
        <f>M28+E28*2</f>
        <v/>
      </c>
      <c r="O28" s="17">
        <f>MIN(1.25,J28+15%)</f>
        <v/>
      </c>
      <c r="P28" s="17">
        <f>J28</f>
        <v/>
      </c>
      <c r="Q28" s="17">
        <f>MIN(1.25,O28*P28/90%)</f>
        <v/>
      </c>
    </row>
    <row r="29">
      <c r="A29" s="13" t="n">
        <v>24</v>
      </c>
      <c r="B29" s="14" t="inlineStr">
        <is>
          <t>SAFIQUE MAHAMMAD</t>
        </is>
      </c>
      <c r="C29" s="14" t="inlineStr">
        <is>
          <t>DENTER</t>
        </is>
      </c>
      <c r="D29" s="14" t="inlineStr">
        <is>
          <t>TN0116</t>
        </is>
      </c>
      <c r="E29" s="13" t="n">
        <v>26</v>
      </c>
      <c r="F29" s="15">
        <f>E29*8</f>
        <v/>
      </c>
      <c r="G29" s="16" t="n">
        <v>0</v>
      </c>
      <c r="H29" s="15">
        <f>F29+G29</f>
        <v/>
      </c>
      <c r="I29" s="16" t="n">
        <v>155.45</v>
      </c>
      <c r="J29" s="17">
        <f>IFERROR(I29/H29,0)</f>
        <v/>
      </c>
      <c r="K29" s="17">
        <f>MAX(0,1-J29)</f>
        <v/>
      </c>
      <c r="L29" s="18" t="n">
        <v>13217.77</v>
      </c>
      <c r="M29" s="16" t="n">
        <v>155.45</v>
      </c>
      <c r="N29" s="15">
        <f>M29+E29*2</f>
        <v/>
      </c>
      <c r="O29" s="17">
        <f>MIN(1.25,J29+15%)</f>
        <v/>
      </c>
      <c r="P29" s="17">
        <f>J29</f>
        <v/>
      </c>
      <c r="Q29" s="17">
        <f>MIN(1.25,O29*P29/90%)</f>
        <v/>
      </c>
    </row>
    <row r="30">
      <c r="A30" s="13" t="n">
        <v>25</v>
      </c>
      <c r="B30" s="14" t="inlineStr">
        <is>
          <t>MOHAMAMD RAJA</t>
        </is>
      </c>
      <c r="C30" s="14" t="inlineStr">
        <is>
          <t>PAINTER</t>
        </is>
      </c>
      <c r="D30" s="14" t="inlineStr">
        <is>
          <t>TN0121</t>
        </is>
      </c>
      <c r="E30" s="13" t="n">
        <v>24</v>
      </c>
      <c r="F30" s="15">
        <f>E30*8</f>
        <v/>
      </c>
      <c r="G30" s="16" t="n">
        <v>0</v>
      </c>
      <c r="H30" s="15">
        <f>F30+G30</f>
        <v/>
      </c>
      <c r="I30" s="16" t="n">
        <v>138.38</v>
      </c>
      <c r="J30" s="17">
        <f>IFERROR(I30/H30,0)</f>
        <v/>
      </c>
      <c r="K30" s="17">
        <f>MAX(0,1-J30)</f>
        <v/>
      </c>
      <c r="L30" s="18" t="n">
        <v>11622.87</v>
      </c>
      <c r="M30" s="16" t="n">
        <v>138.38</v>
      </c>
      <c r="N30" s="15">
        <f>M30+E30*2</f>
        <v/>
      </c>
      <c r="O30" s="17">
        <f>MIN(1.25,J30+15%)</f>
        <v/>
      </c>
      <c r="P30" s="17">
        <f>J30</f>
        <v/>
      </c>
      <c r="Q30" s="17">
        <f>MIN(1.25,O30*P30/90%)</f>
        <v/>
      </c>
    </row>
    <row r="31">
      <c r="A31" s="13" t="n">
        <v>26</v>
      </c>
      <c r="B31" s="14" t="inlineStr">
        <is>
          <t>EJAJ AHMAD</t>
        </is>
      </c>
      <c r="C31" s="14" t="inlineStr">
        <is>
          <t>DENTER</t>
        </is>
      </c>
      <c r="D31" s="14" t="inlineStr">
        <is>
          <t>TN0122</t>
        </is>
      </c>
      <c r="E31" s="13" t="n">
        <v>24</v>
      </c>
      <c r="F31" s="15">
        <f>E31*8</f>
        <v/>
      </c>
      <c r="G31" s="16" t="n">
        <v>1</v>
      </c>
      <c r="H31" s="15">
        <f>F31+G31</f>
        <v/>
      </c>
      <c r="I31" s="16" t="n">
        <v>160.9</v>
      </c>
      <c r="J31" s="17">
        <f>IFERROR(I31/H31,0)</f>
        <v/>
      </c>
      <c r="K31" s="17">
        <f>MAX(0,1-J31)</f>
        <v/>
      </c>
      <c r="L31" s="18" t="n">
        <v>13499.81</v>
      </c>
      <c r="M31" s="16" t="n">
        <v>160.9</v>
      </c>
      <c r="N31" s="15">
        <f>M31+E31*2</f>
        <v/>
      </c>
      <c r="O31" s="17">
        <f>MIN(1.25,J31+15%)</f>
        <v/>
      </c>
      <c r="P31" s="17">
        <f>J31</f>
        <v/>
      </c>
      <c r="Q31" s="17">
        <f>MIN(1.25,O31*P31/90%)</f>
        <v/>
      </c>
    </row>
    <row r="32">
      <c r="A32" s="13" t="n">
        <v>27</v>
      </c>
      <c r="B32" s="14" t="inlineStr">
        <is>
          <t>MUHAMMAD ALMAS</t>
        </is>
      </c>
      <c r="C32" s="14" t="inlineStr">
        <is>
          <t>DENTER</t>
        </is>
      </c>
      <c r="D32" s="14" t="inlineStr">
        <is>
          <t>TN0128</t>
        </is>
      </c>
      <c r="E32" s="13" t="n">
        <v>27</v>
      </c>
      <c r="F32" s="15">
        <f>E32*8</f>
        <v/>
      </c>
      <c r="G32" s="16" t="n">
        <v>0</v>
      </c>
      <c r="H32" s="15">
        <f>F32+G32</f>
        <v/>
      </c>
      <c r="I32" s="16" t="n">
        <v>131.99</v>
      </c>
      <c r="J32" s="17">
        <f>IFERROR(I32/H32,0)</f>
        <v/>
      </c>
      <c r="K32" s="17">
        <f>MAX(0,1-J32)</f>
        <v/>
      </c>
      <c r="L32" s="18" t="n">
        <v>11390.02</v>
      </c>
      <c r="M32" s="16" t="n">
        <v>131.99</v>
      </c>
      <c r="N32" s="15">
        <f>M32+E32*2</f>
        <v/>
      </c>
      <c r="O32" s="17">
        <f>MIN(1.25,J32+15%)</f>
        <v/>
      </c>
      <c r="P32" s="17">
        <f>J32</f>
        <v/>
      </c>
      <c r="Q32" s="17">
        <f>MIN(1.25,O32*P32/90%)</f>
        <v/>
      </c>
    </row>
    <row r="33">
      <c r="A33" s="13" t="n">
        <v>28</v>
      </c>
      <c r="B33" s="14" t="inlineStr">
        <is>
          <t>Zeshan</t>
        </is>
      </c>
      <c r="C33" s="14" t="inlineStr">
        <is>
          <t>DENTER</t>
        </is>
      </c>
      <c r="D33" s="14" t="inlineStr">
        <is>
          <t>TN0141</t>
        </is>
      </c>
      <c r="E33" s="13" t="n">
        <v>26</v>
      </c>
      <c r="F33" s="15">
        <f>E33*8</f>
        <v/>
      </c>
      <c r="G33" s="16" t="n">
        <v>1</v>
      </c>
      <c r="H33" s="15">
        <f>F33+G33</f>
        <v/>
      </c>
      <c r="I33" s="16" t="n">
        <v>193.27</v>
      </c>
      <c r="J33" s="17">
        <f>IFERROR(I33/H33,0)</f>
        <v/>
      </c>
      <c r="K33" s="17">
        <f>MAX(0,1-J33)</f>
        <v/>
      </c>
      <c r="L33" s="18" t="n">
        <v>16187.88</v>
      </c>
      <c r="M33" s="16" t="n">
        <v>193.27</v>
      </c>
      <c r="N33" s="15">
        <f>M33+E33*2</f>
        <v/>
      </c>
      <c r="O33" s="17">
        <f>MIN(1.25,J33+15%)</f>
        <v/>
      </c>
      <c r="P33" s="17">
        <f>J33</f>
        <v/>
      </c>
      <c r="Q33" s="17">
        <f>MIN(1.25,O33*P33/90%)</f>
        <v/>
      </c>
    </row>
    <row r="34">
      <c r="A34" s="13" t="n">
        <v>29</v>
      </c>
      <c r="B34" s="14" t="inlineStr">
        <is>
          <t>SAIDAB AHAMED</t>
        </is>
      </c>
      <c r="C34" s="14" t="inlineStr">
        <is>
          <t>TYRE TECHNICIAN</t>
        </is>
      </c>
      <c r="D34" s="14" t="inlineStr">
        <is>
          <t>TN0150</t>
        </is>
      </c>
      <c r="E34" s="13" t="n">
        <v>27</v>
      </c>
      <c r="F34" s="15">
        <f>E34*8</f>
        <v/>
      </c>
      <c r="G34" s="16" t="n">
        <v>0</v>
      </c>
      <c r="H34" s="15">
        <f>F34+G34</f>
        <v/>
      </c>
      <c r="I34" s="16" t="n">
        <v>182.62</v>
      </c>
      <c r="J34" s="17">
        <f>IFERROR(I34/H34,0)</f>
        <v/>
      </c>
      <c r="K34" s="17">
        <f>MAX(0,1-J34)</f>
        <v/>
      </c>
      <c r="L34" s="18" t="n">
        <v>15317.48</v>
      </c>
      <c r="M34" s="16" t="n">
        <v>182.62</v>
      </c>
      <c r="N34" s="15">
        <f>M34+E34*2</f>
        <v/>
      </c>
      <c r="O34" s="17">
        <f>MIN(1.25,J34+15%)</f>
        <v/>
      </c>
      <c r="P34" s="17">
        <f>J34</f>
        <v/>
      </c>
      <c r="Q34" s="17">
        <f>MIN(1.25,O34*P34/90%)</f>
        <v/>
      </c>
    </row>
    <row r="35">
      <c r="A35" s="13" t="n">
        <v>30</v>
      </c>
      <c r="B35" s="14" t="inlineStr">
        <is>
          <t>FRANCIS AGEWI</t>
        </is>
      </c>
      <c r="C35" s="14" t="inlineStr">
        <is>
          <t>MECHANIC</t>
        </is>
      </c>
      <c r="D35" s="14" t="inlineStr">
        <is>
          <t>TN0171</t>
        </is>
      </c>
      <c r="E35" s="13" t="n">
        <v>27</v>
      </c>
      <c r="F35" s="15">
        <f>E35*8</f>
        <v/>
      </c>
      <c r="G35" s="16" t="n">
        <v>2</v>
      </c>
      <c r="H35" s="15">
        <f>F35+G35</f>
        <v/>
      </c>
      <c r="I35" s="16" t="n">
        <v>207.88</v>
      </c>
      <c r="J35" s="17">
        <f>IFERROR(I35/H35,0)</f>
        <v/>
      </c>
      <c r="K35" s="17">
        <f>MAX(0,1-J35)</f>
        <v/>
      </c>
      <c r="L35" s="18" t="n">
        <v>18029.68</v>
      </c>
      <c r="M35" s="16" t="n">
        <v>207.88</v>
      </c>
      <c r="N35" s="15">
        <f>M35+E35*2</f>
        <v/>
      </c>
      <c r="O35" s="17">
        <f>MIN(1.25,J35+15%)</f>
        <v/>
      </c>
      <c r="P35" s="17">
        <f>J35</f>
        <v/>
      </c>
      <c r="Q35" s="17">
        <f>MIN(1.25,O35*P35/90%)</f>
        <v/>
      </c>
    </row>
    <row r="36">
      <c r="A36" s="13" t="n">
        <v>31</v>
      </c>
      <c r="B36" s="14" t="inlineStr">
        <is>
          <t>Ally Ibrahim</t>
        </is>
      </c>
      <c r="C36" s="14" t="inlineStr">
        <is>
          <t>DENTER</t>
        </is>
      </c>
      <c r="D36" s="14" t="inlineStr">
        <is>
          <t>TN0180</t>
        </is>
      </c>
      <c r="E36" s="13" t="n">
        <v>16</v>
      </c>
      <c r="F36" s="15">
        <f>E36*8</f>
        <v/>
      </c>
      <c r="G36" s="16" t="n">
        <v>0</v>
      </c>
      <c r="H36" s="15">
        <f>F36+G36</f>
        <v/>
      </c>
      <c r="I36" s="16" t="n">
        <v>36.02</v>
      </c>
      <c r="J36" s="17">
        <f>IFERROR(I36/H36,0)</f>
        <v/>
      </c>
      <c r="K36" s="17">
        <f>MAX(0,1-J36)</f>
        <v/>
      </c>
      <c r="L36" s="18" t="n">
        <v>3056.21</v>
      </c>
      <c r="M36" s="16" t="n">
        <v>36.02</v>
      </c>
      <c r="N36" s="15">
        <f>M36+E36*2</f>
        <v/>
      </c>
      <c r="O36" s="17">
        <f>MIN(1.25,J36+15%)</f>
        <v/>
      </c>
      <c r="P36" s="17">
        <f>J36</f>
        <v/>
      </c>
      <c r="Q36" s="17">
        <f>MIN(1.25,O36*P36/90%)</f>
        <v/>
      </c>
    </row>
    <row r="37">
      <c r="A37" s="13" t="n">
        <v>32</v>
      </c>
      <c r="B37" s="14" t="inlineStr">
        <is>
          <t>RATHEETH PANICHOTH</t>
        </is>
      </c>
      <c r="C37" s="14" t="inlineStr">
        <is>
          <t>ELECTRICIAN</t>
        </is>
      </c>
      <c r="D37" s="14" t="inlineStr">
        <is>
          <t>TN0181</t>
        </is>
      </c>
      <c r="E37" s="13" t="n">
        <v>27</v>
      </c>
      <c r="F37" s="15">
        <f>E37*8</f>
        <v/>
      </c>
      <c r="G37" s="16" t="n">
        <v>1</v>
      </c>
      <c r="H37" s="15">
        <f>F37+G37</f>
        <v/>
      </c>
      <c r="I37" s="16" t="n">
        <v>172.96</v>
      </c>
      <c r="J37" s="17">
        <f>IFERROR(I37/H37,0)</f>
        <v/>
      </c>
      <c r="K37" s="17">
        <f>MAX(0,1-J37)</f>
        <v/>
      </c>
      <c r="L37" s="18" t="n">
        <v>14595.16</v>
      </c>
      <c r="M37" s="16" t="n">
        <v>172.96</v>
      </c>
      <c r="N37" s="15">
        <f>M37+E37*2</f>
        <v/>
      </c>
      <c r="O37" s="17">
        <f>MIN(1.25,J37+15%)</f>
        <v/>
      </c>
      <c r="P37" s="17">
        <f>J37</f>
        <v/>
      </c>
      <c r="Q37" s="17">
        <f>MIN(1.25,O37*P37/90%)</f>
        <v/>
      </c>
    </row>
    <row r="38">
      <c r="A38" s="13" t="n">
        <v>33</v>
      </c>
      <c r="B38" s="14" t="inlineStr">
        <is>
          <t>MARK KAYIGO</t>
        </is>
      </c>
      <c r="C38" s="14" t="inlineStr">
        <is>
          <t>MECHANIC</t>
        </is>
      </c>
      <c r="D38" s="14" t="inlineStr">
        <is>
          <t>TN0182</t>
        </is>
      </c>
      <c r="E38" s="13" t="n">
        <v>27</v>
      </c>
      <c r="F38" s="15">
        <f>E38*8</f>
        <v/>
      </c>
      <c r="G38" s="16" t="n">
        <v>0</v>
      </c>
      <c r="H38" s="15">
        <f>F38+G38</f>
        <v/>
      </c>
      <c r="I38" s="16" t="n">
        <v>205.09</v>
      </c>
      <c r="J38" s="17">
        <f>IFERROR(I38/H38,0)</f>
        <v/>
      </c>
      <c r="K38" s="17">
        <f>MAX(0,1-J38)</f>
        <v/>
      </c>
      <c r="L38" s="18" t="n">
        <v>17844.42</v>
      </c>
      <c r="M38" s="16" t="n">
        <v>205.09</v>
      </c>
      <c r="N38" s="15">
        <f>M38+E38*2</f>
        <v/>
      </c>
      <c r="O38" s="17">
        <f>MIN(1.25,J38+15%)</f>
        <v/>
      </c>
      <c r="P38" s="17">
        <f>J38</f>
        <v/>
      </c>
      <c r="Q38" s="17">
        <f>MIN(1.25,O38*P38/90%)</f>
        <v/>
      </c>
    </row>
    <row r="39">
      <c r="A39" s="13" t="n">
        <v>34</v>
      </c>
      <c r="B39" s="14" t="inlineStr">
        <is>
          <t>ENAYAT SHAIKH ALI SHAIKH</t>
        </is>
      </c>
      <c r="C39" s="14" t="inlineStr">
        <is>
          <t>PAINTER</t>
        </is>
      </c>
      <c r="D39" s="14" t="inlineStr">
        <is>
          <t>TN0185</t>
        </is>
      </c>
      <c r="E39" s="13" t="n">
        <v>27</v>
      </c>
      <c r="F39" s="15">
        <f>E39*8</f>
        <v/>
      </c>
      <c r="G39" s="16" t="n">
        <v>4</v>
      </c>
      <c r="H39" s="15">
        <f>F39+G39</f>
        <v/>
      </c>
      <c r="I39" s="16" t="n">
        <v>168.02</v>
      </c>
      <c r="J39" s="17">
        <f>IFERROR(I39/H39,0)</f>
        <v/>
      </c>
      <c r="K39" s="17">
        <f>MAX(0,1-J39)</f>
        <v/>
      </c>
      <c r="L39" s="18" t="n">
        <v>14629.11</v>
      </c>
      <c r="M39" s="16" t="n">
        <v>168.02</v>
      </c>
      <c r="N39" s="15">
        <f>M39+E39*2</f>
        <v/>
      </c>
      <c r="O39" s="17">
        <f>MIN(1.25,J39+15%)</f>
        <v/>
      </c>
      <c r="P39" s="17">
        <f>J39</f>
        <v/>
      </c>
      <c r="Q39" s="17">
        <f>MIN(1.25,O39*P39/90%)</f>
        <v/>
      </c>
    </row>
    <row r="40">
      <c r="A40" s="13" t="n">
        <v>35</v>
      </c>
      <c r="B40" s="14" t="inlineStr">
        <is>
          <t>WAQAS GUL KHAN</t>
        </is>
      </c>
      <c r="C40" s="14" t="inlineStr">
        <is>
          <t>PAINTER</t>
        </is>
      </c>
      <c r="D40" s="14" t="inlineStr">
        <is>
          <t>TN0186</t>
        </is>
      </c>
      <c r="E40" s="13" t="n">
        <v>27</v>
      </c>
      <c r="F40" s="15">
        <f>E40*8</f>
        <v/>
      </c>
      <c r="G40" s="16" t="n">
        <v>0</v>
      </c>
      <c r="H40" s="15">
        <f>F40+G40</f>
        <v/>
      </c>
      <c r="I40" s="16" t="n">
        <v>178.45</v>
      </c>
      <c r="J40" s="17">
        <f>IFERROR(I40/H40,0)</f>
        <v/>
      </c>
      <c r="K40" s="17">
        <f>MAX(0,1-J40)</f>
        <v/>
      </c>
      <c r="L40" s="18" t="n">
        <v>15150.78</v>
      </c>
      <c r="M40" s="16" t="n">
        <v>178.45</v>
      </c>
      <c r="N40" s="15">
        <f>M40+E40*2</f>
        <v/>
      </c>
      <c r="O40" s="17">
        <f>MIN(1.25,J40+15%)</f>
        <v/>
      </c>
      <c r="P40" s="17">
        <f>J40</f>
        <v/>
      </c>
      <c r="Q40" s="17">
        <f>MIN(1.25,O40*P40/90%)</f>
        <v/>
      </c>
    </row>
    <row r="41">
      <c r="A41" s="13" t="n">
        <v>36</v>
      </c>
      <c r="B41" s="14" t="inlineStr">
        <is>
          <t>FARHAN AHAMAD</t>
        </is>
      </c>
      <c r="C41" s="14" t="inlineStr">
        <is>
          <t>MECHANIC</t>
        </is>
      </c>
      <c r="D41" s="14" t="inlineStr">
        <is>
          <t>TN0187</t>
        </is>
      </c>
      <c r="E41" s="13" t="n">
        <v>27</v>
      </c>
      <c r="F41" s="15">
        <f>E41*8</f>
        <v/>
      </c>
      <c r="G41" s="16" t="n">
        <v>0</v>
      </c>
      <c r="H41" s="15">
        <f>F41+G41</f>
        <v/>
      </c>
      <c r="I41" s="16" t="n">
        <v>203.86</v>
      </c>
      <c r="J41" s="17">
        <f>IFERROR(I41/H41,0)</f>
        <v/>
      </c>
      <c r="K41" s="17">
        <f>MAX(0,1-J41)</f>
        <v/>
      </c>
      <c r="L41" s="18" t="n">
        <v>17670.56</v>
      </c>
      <c r="M41" s="16" t="n">
        <v>203.86</v>
      </c>
      <c r="N41" s="15">
        <f>M41+E41*2</f>
        <v/>
      </c>
      <c r="O41" s="17">
        <f>MIN(1.25,J41+15%)</f>
        <v/>
      </c>
      <c r="P41" s="17">
        <f>J41</f>
        <v/>
      </c>
      <c r="Q41" s="17">
        <f>MIN(1.25,O41*P41/90%)</f>
        <v/>
      </c>
    </row>
    <row r="42">
      <c r="A42" s="13" t="n">
        <v>37</v>
      </c>
      <c r="B42" s="14" t="inlineStr">
        <is>
          <t>ABDELILAH BOUDINA</t>
        </is>
      </c>
      <c r="C42" s="14" t="inlineStr">
        <is>
          <t>PAINTER</t>
        </is>
      </c>
      <c r="D42" s="14" t="inlineStr">
        <is>
          <t>TN0201</t>
        </is>
      </c>
      <c r="E42" s="13" t="n">
        <v>2</v>
      </c>
      <c r="F42" s="15">
        <f>E42*8</f>
        <v/>
      </c>
      <c r="G42" s="16" t="n">
        <v>0</v>
      </c>
      <c r="H42" s="15">
        <f>F42+G42</f>
        <v/>
      </c>
      <c r="I42" s="16" t="n">
        <v>1.58</v>
      </c>
      <c r="J42" s="17">
        <f>IFERROR(I42/H42,0)</f>
        <v/>
      </c>
      <c r="K42" s="17">
        <f>MAX(0,1-J42)</f>
        <v/>
      </c>
      <c r="L42" s="18" t="n">
        <v>131.26</v>
      </c>
      <c r="M42" s="16" t="n">
        <v>1.58</v>
      </c>
      <c r="N42" s="15">
        <f>M42+E42*2</f>
        <v/>
      </c>
      <c r="O42" s="17">
        <f>MIN(1.25,J42+15%)</f>
        <v/>
      </c>
      <c r="P42" s="17">
        <f>J42</f>
        <v/>
      </c>
      <c r="Q42" s="17">
        <f>MIN(1.25,O42*P42/90%)</f>
        <v/>
      </c>
    </row>
    <row r="43">
      <c r="A43" s="13" t="n">
        <v>38</v>
      </c>
      <c r="B43" s="14" t="inlineStr">
        <is>
          <t>Jerin Kurian Varghese</t>
        </is>
      </c>
      <c r="C43" s="14" t="inlineStr">
        <is>
          <t>MECHANIC</t>
        </is>
      </c>
      <c r="D43" s="14" t="inlineStr">
        <is>
          <t>TN0204</t>
        </is>
      </c>
      <c r="E43" s="13" t="n">
        <v>23</v>
      </c>
      <c r="F43" s="15">
        <f>E43*8</f>
        <v/>
      </c>
      <c r="G43" s="16" t="n">
        <v>0</v>
      </c>
      <c r="H43" s="15">
        <f>F43+G43</f>
        <v/>
      </c>
      <c r="I43" s="16" t="n">
        <v>161.03</v>
      </c>
      <c r="J43" s="17">
        <f>IFERROR(I43/H43,0)</f>
        <v/>
      </c>
      <c r="K43" s="17">
        <f>MAX(0,1-J43)</f>
        <v/>
      </c>
      <c r="L43" s="18" t="n">
        <v>13909.39</v>
      </c>
      <c r="M43" s="16" t="n">
        <v>161.03</v>
      </c>
      <c r="N43" s="15">
        <f>M43+E43*2</f>
        <v/>
      </c>
      <c r="O43" s="17">
        <f>MIN(1.25,J43+15%)</f>
        <v/>
      </c>
      <c r="P43" s="17">
        <f>J43</f>
        <v/>
      </c>
      <c r="Q43" s="17">
        <f>MIN(1.25,O43*P43/90%)</f>
        <v/>
      </c>
    </row>
    <row r="44">
      <c r="A44" s="13" t="n">
        <v>39</v>
      </c>
      <c r="B44" s="14" t="inlineStr">
        <is>
          <t>Mohammed Monjur</t>
        </is>
      </c>
      <c r="C44" s="14" t="inlineStr">
        <is>
          <t>MECHANIC</t>
        </is>
      </c>
      <c r="D44" s="14" t="inlineStr">
        <is>
          <t>TN0209</t>
        </is>
      </c>
      <c r="E44" s="13" t="n">
        <v>27</v>
      </c>
      <c r="F44" s="15">
        <f>E44*8</f>
        <v/>
      </c>
      <c r="G44" s="16" t="n">
        <v>1</v>
      </c>
      <c r="H44" s="15">
        <f>F44+G44</f>
        <v/>
      </c>
      <c r="I44" s="16" t="n">
        <v>204.07</v>
      </c>
      <c r="J44" s="17">
        <f>IFERROR(I44/H44,0)</f>
        <v/>
      </c>
      <c r="K44" s="17">
        <f>MAX(0,1-J44)</f>
        <v/>
      </c>
      <c r="L44" s="18" t="n">
        <v>17292.79</v>
      </c>
      <c r="M44" s="16" t="n">
        <v>204.07</v>
      </c>
      <c r="N44" s="15">
        <f>M44+E44*2</f>
        <v/>
      </c>
      <c r="O44" s="17">
        <f>MIN(1.25,J44+15%)</f>
        <v/>
      </c>
      <c r="P44" s="17">
        <f>J44</f>
        <v/>
      </c>
      <c r="Q44" s="17">
        <f>MIN(1.25,O44*P44/90%)</f>
        <v/>
      </c>
    </row>
    <row r="45">
      <c r="A45" s="13" t="n">
        <v>40</v>
      </c>
      <c r="B45" s="14" t="inlineStr">
        <is>
          <t>ZEGER HAYAT MOHAMMAD ZA</t>
        </is>
      </c>
      <c r="C45" s="14" t="inlineStr">
        <is>
          <t>MECHANIC</t>
        </is>
      </c>
      <c r="D45" s="14" t="inlineStr">
        <is>
          <t>TN0210</t>
        </is>
      </c>
      <c r="E45" s="13" t="n">
        <v>26</v>
      </c>
      <c r="F45" s="15">
        <f>E45*8</f>
        <v/>
      </c>
      <c r="G45" s="16" t="n">
        <v>0</v>
      </c>
      <c r="H45" s="15">
        <f>F45+G45</f>
        <v/>
      </c>
      <c r="I45" s="16" t="n">
        <v>151.38</v>
      </c>
      <c r="J45" s="17">
        <f>IFERROR(I45/H45,0)</f>
        <v/>
      </c>
      <c r="K45" s="17">
        <f>MAX(0,1-J45)</f>
        <v/>
      </c>
      <c r="L45" s="18" t="n">
        <v>12905.17</v>
      </c>
      <c r="M45" s="16" t="n">
        <v>151.38</v>
      </c>
      <c r="N45" s="15">
        <f>M45+E45*2</f>
        <v/>
      </c>
      <c r="O45" s="17">
        <f>MIN(1.25,J45+15%)</f>
        <v/>
      </c>
      <c r="P45" s="17">
        <f>J45</f>
        <v/>
      </c>
      <c r="Q45" s="17">
        <f>MIN(1.25,O45*P45/90%)</f>
        <v/>
      </c>
    </row>
    <row r="46">
      <c r="A46" s="13" t="n">
        <v>41</v>
      </c>
      <c r="B46" s="14" t="inlineStr">
        <is>
          <t>BIJU M UNNI</t>
        </is>
      </c>
      <c r="C46" s="14" t="inlineStr">
        <is>
          <t>PAINTER</t>
        </is>
      </c>
      <c r="D46" s="14" t="inlineStr">
        <is>
          <t>TN0220</t>
        </is>
      </c>
      <c r="E46" s="13" t="n">
        <v>27</v>
      </c>
      <c r="F46" s="15">
        <f>E46*8</f>
        <v/>
      </c>
      <c r="G46" s="16" t="n">
        <v>4</v>
      </c>
      <c r="H46" s="15">
        <f>F46+G46</f>
        <v/>
      </c>
      <c r="I46" s="16" t="n">
        <v>123.74</v>
      </c>
      <c r="J46" s="17">
        <f>IFERROR(I46/H46,0)</f>
        <v/>
      </c>
      <c r="K46" s="17">
        <f>MAX(0,1-J46)</f>
        <v/>
      </c>
      <c r="L46" s="18" t="n">
        <v>10419.48</v>
      </c>
      <c r="M46" s="16" t="n">
        <v>123.74</v>
      </c>
      <c r="N46" s="15">
        <f>M46+E46*2</f>
        <v/>
      </c>
      <c r="O46" s="17">
        <f>MIN(1.25,J46+15%)</f>
        <v/>
      </c>
      <c r="P46" s="17">
        <f>J46</f>
        <v/>
      </c>
      <c r="Q46" s="17">
        <f>MIN(1.25,O46*P46/90%)</f>
        <v/>
      </c>
    </row>
    <row r="47">
      <c r="A47" s="13" t="n">
        <v>42</v>
      </c>
      <c r="B47" s="14" t="inlineStr">
        <is>
          <t>DIBAKAR SAHOO MURALDHAR</t>
        </is>
      </c>
      <c r="C47" s="14" t="inlineStr">
        <is>
          <t>PAINTER</t>
        </is>
      </c>
      <c r="D47" s="14" t="inlineStr">
        <is>
          <t>TN0222</t>
        </is>
      </c>
      <c r="E47" s="13" t="n">
        <v>24</v>
      </c>
      <c r="F47" s="15">
        <f>E47*8</f>
        <v/>
      </c>
      <c r="G47" s="16" t="n">
        <v>2</v>
      </c>
      <c r="H47" s="15">
        <f>F47+G47</f>
        <v/>
      </c>
      <c r="I47" s="16" t="n">
        <v>170.1</v>
      </c>
      <c r="J47" s="17">
        <f>IFERROR(I47/H47,0)</f>
        <v/>
      </c>
      <c r="K47" s="17">
        <f>MAX(0,1-J47)</f>
        <v/>
      </c>
      <c r="L47" s="18" t="n">
        <v>14318.27</v>
      </c>
      <c r="M47" s="16" t="n">
        <v>170.1</v>
      </c>
      <c r="N47" s="15">
        <f>M47+E47*2</f>
        <v/>
      </c>
      <c r="O47" s="17">
        <f>MIN(1.25,J47+15%)</f>
        <v/>
      </c>
      <c r="P47" s="17">
        <f>J47</f>
        <v/>
      </c>
      <c r="Q47" s="17">
        <f>MIN(1.25,O47*P47/90%)</f>
        <v/>
      </c>
    </row>
    <row r="48">
      <c r="A48" s="13" t="n">
        <v>43</v>
      </c>
      <c r="B48" s="14" t="inlineStr">
        <is>
          <t>SHAIKH MUSTAQUE ALI</t>
        </is>
      </c>
      <c r="C48" s="14" t="inlineStr">
        <is>
          <t>DENTER</t>
        </is>
      </c>
      <c r="D48" s="14" t="inlineStr">
        <is>
          <t>TN0224</t>
        </is>
      </c>
      <c r="E48" s="13" t="n">
        <v>26</v>
      </c>
      <c r="F48" s="15">
        <f>E48*8</f>
        <v/>
      </c>
      <c r="G48" s="16" t="n">
        <v>2</v>
      </c>
      <c r="H48" s="15">
        <f>F48+G48</f>
        <v/>
      </c>
      <c r="I48" s="16" t="n">
        <v>165.25</v>
      </c>
      <c r="J48" s="17">
        <f>IFERROR(I48/H48,0)</f>
        <v/>
      </c>
      <c r="K48" s="17">
        <f>MAX(0,1-J48)</f>
        <v/>
      </c>
      <c r="L48" s="18" t="n">
        <v>14230.02</v>
      </c>
      <c r="M48" s="16" t="n">
        <v>165.25</v>
      </c>
      <c r="N48" s="15">
        <f>M48+E48*2</f>
        <v/>
      </c>
      <c r="O48" s="17">
        <f>MIN(1.25,J48+15%)</f>
        <v/>
      </c>
      <c r="P48" s="17">
        <f>J48</f>
        <v/>
      </c>
      <c r="Q48" s="17">
        <f>MIN(1.25,O48*P48/90%)</f>
        <v/>
      </c>
    </row>
    <row r="49">
      <c r="A49" s="13" t="n">
        <v>44</v>
      </c>
      <c r="B49" s="14" t="inlineStr">
        <is>
          <t>ZEESHAN IHSAN ULLAH</t>
        </is>
      </c>
      <c r="C49" s="14" t="inlineStr">
        <is>
          <t>DENTER</t>
        </is>
      </c>
      <c r="D49" s="14" t="inlineStr">
        <is>
          <t>TN0226</t>
        </is>
      </c>
      <c r="E49" s="13" t="n">
        <v>27</v>
      </c>
      <c r="F49" s="15">
        <f>E49*8</f>
        <v/>
      </c>
      <c r="G49" s="16" t="n">
        <v>2</v>
      </c>
      <c r="H49" s="15">
        <f>F49+G49</f>
        <v/>
      </c>
      <c r="I49" s="16" t="n">
        <v>209.47</v>
      </c>
      <c r="J49" s="17">
        <f>IFERROR(I49/H49,0)</f>
        <v/>
      </c>
      <c r="K49" s="17">
        <f>MAX(0,1-J49)</f>
        <v/>
      </c>
      <c r="L49" s="18" t="n">
        <v>18126.17</v>
      </c>
      <c r="M49" s="16" t="n">
        <v>209.47</v>
      </c>
      <c r="N49" s="15">
        <f>M49+E49*2</f>
        <v/>
      </c>
      <c r="O49" s="17">
        <f>MIN(1.25,J49+15%)</f>
        <v/>
      </c>
      <c r="P49" s="17">
        <f>J49</f>
        <v/>
      </c>
      <c r="Q49" s="17">
        <f>MIN(1.25,O49*P49/90%)</f>
        <v/>
      </c>
    </row>
    <row r="50">
      <c r="A50" s="13" t="n">
        <v>45</v>
      </c>
      <c r="B50" s="14" t="inlineStr">
        <is>
          <t>MIR EJAJ ALI</t>
        </is>
      </c>
      <c r="C50" s="14" t="inlineStr">
        <is>
          <t>PAINTER</t>
        </is>
      </c>
      <c r="D50" s="14" t="inlineStr">
        <is>
          <t>TN0227</t>
        </is>
      </c>
      <c r="E50" s="13" t="n">
        <v>19</v>
      </c>
      <c r="F50" s="15">
        <f>E50*8</f>
        <v/>
      </c>
      <c r="G50" s="16" t="n">
        <v>2</v>
      </c>
      <c r="H50" s="15">
        <f>F50+G50</f>
        <v/>
      </c>
      <c r="I50" s="16" t="n">
        <v>116.53</v>
      </c>
      <c r="J50" s="17">
        <f>IFERROR(I50/H50,0)</f>
        <v/>
      </c>
      <c r="K50" s="17">
        <f>MAX(0,1-J50)</f>
        <v/>
      </c>
      <c r="L50" s="18" t="n">
        <v>9916.91</v>
      </c>
      <c r="M50" s="16" t="n">
        <v>116.53</v>
      </c>
      <c r="N50" s="15">
        <f>M50+E50*2</f>
        <v/>
      </c>
      <c r="O50" s="17">
        <f>MIN(1.25,J50+15%)</f>
        <v/>
      </c>
      <c r="P50" s="17">
        <f>J50</f>
        <v/>
      </c>
      <c r="Q50" s="17">
        <f>MIN(1.25,O50*P50/90%)</f>
        <v/>
      </c>
    </row>
    <row r="51">
      <c r="A51" s="13" t="n">
        <v>46</v>
      </c>
      <c r="B51" s="14" t="inlineStr">
        <is>
          <t>SAMUEL</t>
        </is>
      </c>
      <c r="C51" s="14" t="inlineStr">
        <is>
          <t>MECHANIC</t>
        </is>
      </c>
      <c r="D51" s="14" t="inlineStr">
        <is>
          <t>TN0235</t>
        </is>
      </c>
      <c r="E51" s="13" t="n">
        <v>26</v>
      </c>
      <c r="F51" s="15">
        <f>E51*8</f>
        <v/>
      </c>
      <c r="G51" s="16" t="n">
        <v>2</v>
      </c>
      <c r="H51" s="15">
        <f>F51+G51</f>
        <v/>
      </c>
      <c r="I51" s="16" t="n">
        <v>158.83</v>
      </c>
      <c r="J51" s="17">
        <f>IFERROR(I51/H51,0)</f>
        <v/>
      </c>
      <c r="K51" s="17">
        <f>MAX(0,1-J51)</f>
        <v/>
      </c>
      <c r="L51" s="18" t="n">
        <v>13176.75</v>
      </c>
      <c r="M51" s="16" t="n">
        <v>158.83</v>
      </c>
      <c r="N51" s="15">
        <f>M51+E51*2</f>
        <v/>
      </c>
      <c r="O51" s="17">
        <f>MIN(1.25,J51+15%)</f>
        <v/>
      </c>
      <c r="P51" s="17">
        <f>J51</f>
        <v/>
      </c>
      <c r="Q51" s="17">
        <f>MIN(1.25,O51*P51/90%)</f>
        <v/>
      </c>
    </row>
    <row r="52">
      <c r="A52" s="13" t="n">
        <v>47</v>
      </c>
      <c r="B52" s="14" t="inlineStr">
        <is>
          <t>BILAL KHAN</t>
        </is>
      </c>
      <c r="C52" s="14" t="inlineStr">
        <is>
          <t>DENTER</t>
        </is>
      </c>
      <c r="D52" s="14" t="inlineStr">
        <is>
          <t>TN0236</t>
        </is>
      </c>
      <c r="E52" s="13" t="n">
        <v>26</v>
      </c>
      <c r="F52" s="15">
        <f>E52*8</f>
        <v/>
      </c>
      <c r="G52" s="16" t="n">
        <v>2</v>
      </c>
      <c r="H52" s="15">
        <f>F52+G52</f>
        <v/>
      </c>
      <c r="I52" s="16" t="n">
        <v>181.98</v>
      </c>
      <c r="J52" s="17">
        <f>IFERROR(I52/H52,0)</f>
        <v/>
      </c>
      <c r="K52" s="17">
        <f>MAX(0,1-J52)</f>
        <v/>
      </c>
      <c r="L52" s="18" t="n">
        <v>15845.26</v>
      </c>
      <c r="M52" s="16" t="n">
        <v>181.98</v>
      </c>
      <c r="N52" s="15">
        <f>M52+E52*2</f>
        <v/>
      </c>
      <c r="O52" s="17">
        <f>MIN(1.25,J52+15%)</f>
        <v/>
      </c>
      <c r="P52" s="17">
        <f>J52</f>
        <v/>
      </c>
      <c r="Q52" s="17">
        <f>MIN(1.25,O52*P52/90%)</f>
        <v/>
      </c>
    </row>
    <row r="53">
      <c r="A53" s="13" t="n">
        <v>48</v>
      </c>
      <c r="B53" s="14" t="inlineStr">
        <is>
          <t>Mohammad Habib Raza</t>
        </is>
      </c>
      <c r="C53" s="14" t="inlineStr">
        <is>
          <t>MECHANIC</t>
        </is>
      </c>
      <c r="D53" s="14" t="inlineStr">
        <is>
          <t>TN0238</t>
        </is>
      </c>
      <c r="E53" s="13" t="n">
        <v>27</v>
      </c>
      <c r="F53" s="15">
        <f>E53*8</f>
        <v/>
      </c>
      <c r="G53" s="16" t="n">
        <v>1</v>
      </c>
      <c r="H53" s="15">
        <f>F53+G53</f>
        <v/>
      </c>
      <c r="I53" s="16" t="n">
        <v>215.91</v>
      </c>
      <c r="J53" s="17">
        <f>IFERROR(I53/H53,0)</f>
        <v/>
      </c>
      <c r="K53" s="17">
        <f>MAX(0,1-J53)</f>
        <v/>
      </c>
      <c r="L53" s="18" t="n">
        <v>18225.21</v>
      </c>
      <c r="M53" s="16" t="n">
        <v>215.91</v>
      </c>
      <c r="N53" s="15">
        <f>M53+E53*2</f>
        <v/>
      </c>
      <c r="O53" s="17">
        <f>MIN(1.25,J53+15%)</f>
        <v/>
      </c>
      <c r="P53" s="17">
        <f>J53</f>
        <v/>
      </c>
      <c r="Q53" s="17">
        <f>MIN(1.25,O53*P53/90%)</f>
        <v/>
      </c>
    </row>
    <row r="54">
      <c r="A54" s="13" t="n">
        <v>49</v>
      </c>
      <c r="B54" s="14" t="inlineStr">
        <is>
          <t>HAMEED ANIYAMPARAMBIL</t>
        </is>
      </c>
      <c r="C54" s="14" t="inlineStr">
        <is>
          <t>MECHANIC</t>
        </is>
      </c>
      <c r="D54" s="14" t="inlineStr">
        <is>
          <t>TN0239</t>
        </is>
      </c>
      <c r="E54" s="13" t="n">
        <v>25</v>
      </c>
      <c r="F54" s="15">
        <f>E54*8</f>
        <v/>
      </c>
      <c r="G54" s="16" t="n">
        <v>0</v>
      </c>
      <c r="H54" s="15">
        <f>F54+G54</f>
        <v/>
      </c>
      <c r="I54" s="16" t="n">
        <v>121.53</v>
      </c>
      <c r="J54" s="17">
        <f>IFERROR(I54/H54,0)</f>
        <v/>
      </c>
      <c r="K54" s="17">
        <f>MAX(0,1-J54)</f>
        <v/>
      </c>
      <c r="L54" s="18" t="n">
        <v>10464.63</v>
      </c>
      <c r="M54" s="16" t="n">
        <v>121.53</v>
      </c>
      <c r="N54" s="15">
        <f>M54+E54*2</f>
        <v/>
      </c>
      <c r="O54" s="17">
        <f>MIN(1.25,J54+15%)</f>
        <v/>
      </c>
      <c r="P54" s="17">
        <f>J54</f>
        <v/>
      </c>
      <c r="Q54" s="17">
        <f>MIN(1.25,O54*P54/90%)</f>
        <v/>
      </c>
    </row>
    <row r="55">
      <c r="A55" s="13" t="n">
        <v>50</v>
      </c>
      <c r="B55" s="14" t="inlineStr">
        <is>
          <t>AMIR HUSSAIN MUHAMMED</t>
        </is>
      </c>
      <c r="C55" s="14" t="inlineStr">
        <is>
          <t>MECHANIC</t>
        </is>
      </c>
      <c r="D55" s="14" t="inlineStr">
        <is>
          <t>TN0241</t>
        </is>
      </c>
      <c r="E55" s="13" t="n">
        <v>27</v>
      </c>
      <c r="F55" s="15">
        <f>E55*8</f>
        <v/>
      </c>
      <c r="G55" s="16" t="n">
        <v>0</v>
      </c>
      <c r="H55" s="15">
        <f>F55+G55</f>
        <v/>
      </c>
      <c r="I55" s="16" t="n">
        <v>202.34</v>
      </c>
      <c r="J55" s="17">
        <f>IFERROR(I55/H55,0)</f>
        <v/>
      </c>
      <c r="K55" s="17">
        <f>MAX(0,1-J55)</f>
        <v/>
      </c>
      <c r="L55" s="18" t="n">
        <v>17376.43</v>
      </c>
      <c r="M55" s="16" t="n">
        <v>202.34</v>
      </c>
      <c r="N55" s="15">
        <f>M55+E55*2</f>
        <v/>
      </c>
      <c r="O55" s="17">
        <f>MIN(1.25,J55+15%)</f>
        <v/>
      </c>
      <c r="P55" s="17">
        <f>J55</f>
        <v/>
      </c>
      <c r="Q55" s="17">
        <f>MIN(1.25,O55*P55/90%)</f>
        <v/>
      </c>
    </row>
    <row r="56">
      <c r="A56" s="13" t="n">
        <v>51</v>
      </c>
      <c r="B56" s="14" t="inlineStr">
        <is>
          <t>LUBAB UDDIN</t>
        </is>
      </c>
      <c r="C56" s="14" t="inlineStr">
        <is>
          <t>DENTER</t>
        </is>
      </c>
      <c r="D56" s="14" t="inlineStr">
        <is>
          <t>TN0242</t>
        </is>
      </c>
      <c r="E56" s="13" t="n">
        <v>22</v>
      </c>
      <c r="F56" s="15">
        <f>E56*8</f>
        <v/>
      </c>
      <c r="G56" s="16" t="n">
        <v>0</v>
      </c>
      <c r="H56" s="15">
        <f>F56+G56</f>
        <v/>
      </c>
      <c r="I56" s="16" t="n">
        <v>125.41</v>
      </c>
      <c r="J56" s="17">
        <f>IFERROR(I56/H56,0)</f>
        <v/>
      </c>
      <c r="K56" s="17">
        <f>MAX(0,1-J56)</f>
        <v/>
      </c>
      <c r="L56" s="18" t="n">
        <v>10752.01</v>
      </c>
      <c r="M56" s="16" t="n">
        <v>125.41</v>
      </c>
      <c r="N56" s="15">
        <f>M56+E56*2</f>
        <v/>
      </c>
      <c r="O56" s="17">
        <f>MIN(1.25,J56+15%)</f>
        <v/>
      </c>
      <c r="P56" s="17">
        <f>J56</f>
        <v/>
      </c>
      <c r="Q56" s="17">
        <f>MIN(1.25,O56*P56/90%)</f>
        <v/>
      </c>
    </row>
    <row r="57">
      <c r="A57" s="13" t="n">
        <v>52</v>
      </c>
      <c r="B57" s="14" t="inlineStr">
        <is>
          <t>MOHAMMED ALI</t>
        </is>
      </c>
      <c r="C57" s="14" t="inlineStr">
        <is>
          <t>DENTER</t>
        </is>
      </c>
      <c r="D57" s="14" t="inlineStr">
        <is>
          <t>TN0244</t>
        </is>
      </c>
      <c r="E57" s="13" t="n">
        <v>27</v>
      </c>
      <c r="F57" s="15">
        <f>E57*8</f>
        <v/>
      </c>
      <c r="G57" s="16" t="n">
        <v>0</v>
      </c>
      <c r="H57" s="15">
        <f>F57+G57</f>
        <v/>
      </c>
      <c r="I57" s="16" t="n">
        <v>161.96</v>
      </c>
      <c r="J57" s="17">
        <f>IFERROR(I57/H57,0)</f>
        <v/>
      </c>
      <c r="K57" s="17">
        <f>MAX(0,1-J57)</f>
        <v/>
      </c>
      <c r="L57" s="18" t="n">
        <v>13584.31</v>
      </c>
      <c r="M57" s="16" t="n">
        <v>161.96</v>
      </c>
      <c r="N57" s="15">
        <f>M57+E57*2</f>
        <v/>
      </c>
      <c r="O57" s="17">
        <f>MIN(1.25,J57+15%)</f>
        <v/>
      </c>
      <c r="P57" s="17">
        <f>J57</f>
        <v/>
      </c>
      <c r="Q57" s="17">
        <f>MIN(1.25,O57*P57/90%)</f>
        <v/>
      </c>
    </row>
    <row r="58">
      <c r="A58" s="13" t="n">
        <v>53</v>
      </c>
      <c r="B58" s="14" t="inlineStr">
        <is>
          <t>MAHMOUD MOHAMED MAHDY</t>
        </is>
      </c>
      <c r="C58" s="14" t="inlineStr">
        <is>
          <t>DENTER</t>
        </is>
      </c>
      <c r="D58" s="14" t="inlineStr">
        <is>
          <t>TN0245</t>
        </is>
      </c>
      <c r="E58" s="13" t="n">
        <v>27</v>
      </c>
      <c r="F58" s="15">
        <f>E58*8</f>
        <v/>
      </c>
      <c r="G58" s="16" t="n">
        <v>4</v>
      </c>
      <c r="H58" s="15">
        <f>F58+G58</f>
        <v/>
      </c>
      <c r="I58" s="16" t="n">
        <v>173.12</v>
      </c>
      <c r="J58" s="17">
        <f>IFERROR(I58/H58,0)</f>
        <v/>
      </c>
      <c r="K58" s="17">
        <f>MAX(0,1-J58)</f>
        <v/>
      </c>
      <c r="L58" s="18" t="n">
        <v>14991.62</v>
      </c>
      <c r="M58" s="16" t="n">
        <v>173.12</v>
      </c>
      <c r="N58" s="15">
        <f>M58+E58*2</f>
        <v/>
      </c>
      <c r="O58" s="17">
        <f>MIN(1.25,J58+15%)</f>
        <v/>
      </c>
      <c r="P58" s="17">
        <f>J58</f>
        <v/>
      </c>
      <c r="Q58" s="17">
        <f>MIN(1.25,O58*P58/90%)</f>
        <v/>
      </c>
    </row>
    <row r="59">
      <c r="A59" s="13" t="n">
        <v>54</v>
      </c>
      <c r="B59" s="14" t="inlineStr">
        <is>
          <t>DIN DAYAL</t>
        </is>
      </c>
      <c r="C59" s="14" t="inlineStr">
        <is>
          <t>ELECTRICIAN</t>
        </is>
      </c>
      <c r="D59" s="14" t="inlineStr">
        <is>
          <t>TN0247</t>
        </is>
      </c>
      <c r="E59" s="13" t="n">
        <v>26</v>
      </c>
      <c r="F59" s="15">
        <f>E59*8</f>
        <v/>
      </c>
      <c r="G59" s="16" t="n">
        <v>0</v>
      </c>
      <c r="H59" s="15">
        <f>F59+G59</f>
        <v/>
      </c>
      <c r="I59" s="16" t="n">
        <v>93.66</v>
      </c>
      <c r="J59" s="17">
        <f>IFERROR(I59/H59,0)</f>
        <v/>
      </c>
      <c r="K59" s="17">
        <f>MAX(0,1-J59)</f>
        <v/>
      </c>
      <c r="L59" s="18" t="n">
        <v>8149.33</v>
      </c>
      <c r="M59" s="16" t="n">
        <v>93.66</v>
      </c>
      <c r="N59" s="15">
        <f>M59+E59*2</f>
        <v/>
      </c>
      <c r="O59" s="17">
        <f>MIN(1.25,J59+15%)</f>
        <v/>
      </c>
      <c r="P59" s="17">
        <f>J59</f>
        <v/>
      </c>
      <c r="Q59" s="17">
        <f>MIN(1.25,O59*P59/90%)</f>
        <v/>
      </c>
    </row>
    <row r="60">
      <c r="A60" s="13" t="n">
        <v>55</v>
      </c>
      <c r="B60" s="14" t="inlineStr">
        <is>
          <t>KAMAL HUSSAIN</t>
        </is>
      </c>
      <c r="C60" s="14" t="inlineStr">
        <is>
          <t>MECHANIC</t>
        </is>
      </c>
      <c r="D60" s="14" t="inlineStr">
        <is>
          <t>TN0248</t>
        </is>
      </c>
      <c r="E60" s="13" t="n">
        <v>26</v>
      </c>
      <c r="F60" s="15">
        <f>E60*8</f>
        <v/>
      </c>
      <c r="G60" s="16" t="n">
        <v>0</v>
      </c>
      <c r="H60" s="15">
        <f>F60+G60</f>
        <v/>
      </c>
      <c r="I60" s="16" t="n">
        <v>176.26</v>
      </c>
      <c r="J60" s="17">
        <f>IFERROR(I60/H60,0)</f>
        <v/>
      </c>
      <c r="K60" s="17">
        <f>MAX(0,1-J60)</f>
        <v/>
      </c>
      <c r="L60" s="18" t="n">
        <v>14963.78</v>
      </c>
      <c r="M60" s="16" t="n">
        <v>176.26</v>
      </c>
      <c r="N60" s="15">
        <f>M60+E60*2</f>
        <v/>
      </c>
      <c r="O60" s="17">
        <f>MIN(1.25,J60+15%)</f>
        <v/>
      </c>
      <c r="P60" s="17">
        <f>J60</f>
        <v/>
      </c>
      <c r="Q60" s="17">
        <f>MIN(1.25,O60*P60/90%)</f>
        <v/>
      </c>
    </row>
    <row r="61">
      <c r="A61" s="13" t="n">
        <v>56</v>
      </c>
      <c r="B61" s="14" t="inlineStr">
        <is>
          <t>RAIS MUHAMMAD KHAN YAR</t>
        </is>
      </c>
      <c r="C61" s="14" t="inlineStr">
        <is>
          <t>PAINTER</t>
        </is>
      </c>
      <c r="D61" s="14" t="inlineStr">
        <is>
          <t>TN0250</t>
        </is>
      </c>
      <c r="E61" s="13" t="n">
        <v>9</v>
      </c>
      <c r="F61" s="15">
        <f>E61*8</f>
        <v/>
      </c>
      <c r="G61" s="16" t="n">
        <v>2</v>
      </c>
      <c r="H61" s="15">
        <f>F61+G61</f>
        <v/>
      </c>
      <c r="I61" s="16" t="n">
        <v>49.31</v>
      </c>
      <c r="J61" s="17">
        <f>IFERROR(I61/H61,0)</f>
        <v/>
      </c>
      <c r="K61" s="17">
        <f>MAX(0,1-J61)</f>
        <v/>
      </c>
      <c r="L61" s="18" t="n">
        <v>4133.75</v>
      </c>
      <c r="M61" s="16" t="n">
        <v>49.31</v>
      </c>
      <c r="N61" s="15">
        <f>M61+E61*2</f>
        <v/>
      </c>
      <c r="O61" s="17">
        <f>MIN(1.25,J61+15%)</f>
        <v/>
      </c>
      <c r="P61" s="17">
        <f>J61</f>
        <v/>
      </c>
      <c r="Q61" s="17">
        <f>MIN(1.25,O61*P61/90%)</f>
        <v/>
      </c>
    </row>
    <row r="62">
      <c r="A62" s="13" t="n">
        <v>57</v>
      </c>
      <c r="B62" s="14" t="inlineStr">
        <is>
          <t>RAJEEVAN</t>
        </is>
      </c>
      <c r="C62" s="14" t="inlineStr">
        <is>
          <t>PAINTER</t>
        </is>
      </c>
      <c r="D62" s="14" t="inlineStr">
        <is>
          <t>TN0251</t>
        </is>
      </c>
      <c r="E62" s="13" t="n">
        <v>26</v>
      </c>
      <c r="F62" s="15">
        <f>E62*8</f>
        <v/>
      </c>
      <c r="G62" s="16" t="n">
        <v>2</v>
      </c>
      <c r="H62" s="15">
        <f>F62+G62</f>
        <v/>
      </c>
      <c r="I62" s="16" t="n">
        <v>180.3</v>
      </c>
      <c r="J62" s="17">
        <f>IFERROR(I62/H62,0)</f>
        <v/>
      </c>
      <c r="K62" s="17">
        <f>MAX(0,1-J62)</f>
        <v/>
      </c>
      <c r="L62" s="18" t="n">
        <v>15184.01</v>
      </c>
      <c r="M62" s="16" t="n">
        <v>180.3</v>
      </c>
      <c r="N62" s="15">
        <f>M62+E62*2</f>
        <v/>
      </c>
      <c r="O62" s="17">
        <f>MIN(1.25,J62+15%)</f>
        <v/>
      </c>
      <c r="P62" s="17">
        <f>J62</f>
        <v/>
      </c>
      <c r="Q62" s="17">
        <f>MIN(1.25,O62*P62/90%)</f>
        <v/>
      </c>
    </row>
    <row r="63">
      <c r="A63" s="13" t="n">
        <v>58</v>
      </c>
      <c r="B63" s="14" t="inlineStr">
        <is>
          <t>MOHAMMED NISAR BHURE</t>
        </is>
      </c>
      <c r="C63" s="14" t="inlineStr">
        <is>
          <t>MECHANIC</t>
        </is>
      </c>
      <c r="D63" s="14" t="inlineStr">
        <is>
          <t>TN0252</t>
        </is>
      </c>
      <c r="E63" s="13" t="n">
        <v>23</v>
      </c>
      <c r="F63" s="15">
        <f>E63*8</f>
        <v/>
      </c>
      <c r="G63" s="16" t="n">
        <v>0</v>
      </c>
      <c r="H63" s="15">
        <f>F63+G63</f>
        <v/>
      </c>
      <c r="I63" s="16" t="n">
        <v>108.84</v>
      </c>
      <c r="J63" s="17">
        <f>IFERROR(I63/H63,0)</f>
        <v/>
      </c>
      <c r="K63" s="17">
        <f>MAX(0,1-J63)</f>
        <v/>
      </c>
      <c r="L63" s="18" t="n">
        <v>9076.27</v>
      </c>
      <c r="M63" s="16" t="n">
        <v>108.84</v>
      </c>
      <c r="N63" s="15">
        <f>M63+E63*2</f>
        <v/>
      </c>
      <c r="O63" s="17">
        <f>MIN(1.25,J63+15%)</f>
        <v/>
      </c>
      <c r="P63" s="17">
        <f>J63</f>
        <v/>
      </c>
      <c r="Q63" s="17">
        <f>MIN(1.25,O63*P63/90%)</f>
        <v/>
      </c>
    </row>
    <row r="64">
      <c r="A64" s="13" t="n">
        <v>59</v>
      </c>
      <c r="B64" s="14" t="inlineStr">
        <is>
          <t>MOHAMMED NISAR BHURE</t>
        </is>
      </c>
      <c r="C64" s="14" t="inlineStr">
        <is>
          <t>MECHANIC</t>
        </is>
      </c>
      <c r="D64" s="14" t="inlineStr">
        <is>
          <t>TN0252</t>
        </is>
      </c>
      <c r="E64" s="13" t="n">
        <v>2</v>
      </c>
      <c r="F64" s="15">
        <f>E64*8</f>
        <v/>
      </c>
      <c r="G64" s="16" t="n">
        <v>2</v>
      </c>
      <c r="H64" s="15">
        <f>F64+G64</f>
        <v/>
      </c>
      <c r="I64" s="16" t="n">
        <v>11.34</v>
      </c>
      <c r="J64" s="17">
        <f>IFERROR(I64/H64,0)</f>
        <v/>
      </c>
      <c r="K64" s="17">
        <f>MAX(0,1-J64)</f>
        <v/>
      </c>
      <c r="L64" s="18" t="n">
        <v>952.33</v>
      </c>
      <c r="M64" s="16" t="n">
        <v>11.34</v>
      </c>
      <c r="N64" s="15">
        <f>M64+E64*2</f>
        <v/>
      </c>
      <c r="O64" s="17">
        <f>MIN(1.25,J64+15%)</f>
        <v/>
      </c>
      <c r="P64" s="17">
        <f>J64</f>
        <v/>
      </c>
      <c r="Q64" s="17">
        <f>MIN(1.25,O64*P64/90%)</f>
        <v/>
      </c>
    </row>
    <row r="65">
      <c r="A65" s="13" t="n">
        <v>60</v>
      </c>
      <c r="B65" s="14" t="inlineStr">
        <is>
          <t>VINODKUMAR KIZHAKKEPURA</t>
        </is>
      </c>
      <c r="C65" s="14" t="inlineStr">
        <is>
          <t>MECHANIC</t>
        </is>
      </c>
      <c r="D65" s="14" t="inlineStr">
        <is>
          <t>TN0253</t>
        </is>
      </c>
      <c r="E65" s="13" t="n">
        <v>19</v>
      </c>
      <c r="F65" s="15">
        <f>E65*8</f>
        <v/>
      </c>
      <c r="G65" s="16" t="n">
        <v>1</v>
      </c>
      <c r="H65" s="15">
        <f>F65+G65</f>
        <v/>
      </c>
      <c r="I65" s="16" t="n">
        <v>86.56</v>
      </c>
      <c r="J65" s="17">
        <f>IFERROR(I65/H65,0)</f>
        <v/>
      </c>
      <c r="K65" s="17">
        <f>MAX(0,1-J65)</f>
        <v/>
      </c>
      <c r="L65" s="18" t="n">
        <v>7402.88</v>
      </c>
      <c r="M65" s="16" t="n">
        <v>86.56</v>
      </c>
      <c r="N65" s="15">
        <f>M65+E65*2</f>
        <v/>
      </c>
      <c r="O65" s="17">
        <f>MIN(1.25,J65+15%)</f>
        <v/>
      </c>
      <c r="P65" s="17">
        <f>J65</f>
        <v/>
      </c>
      <c r="Q65" s="17">
        <f>MIN(1.25,O65*P65/90%)</f>
        <v/>
      </c>
    </row>
    <row r="66">
      <c r="A66" s="13" t="n">
        <v>61</v>
      </c>
      <c r="B66" s="14" t="inlineStr">
        <is>
          <t>ABU BAKAR SIDDIQ TAJ MUHA</t>
        </is>
      </c>
      <c r="C66" s="14" t="inlineStr">
        <is>
          <t>PAINTER</t>
        </is>
      </c>
      <c r="D66" s="14" t="inlineStr">
        <is>
          <t>TN0254</t>
        </is>
      </c>
      <c r="E66" s="13" t="n">
        <v>19</v>
      </c>
      <c r="F66" s="15">
        <f>E66*8</f>
        <v/>
      </c>
      <c r="G66" s="16" t="n">
        <v>0</v>
      </c>
      <c r="H66" s="15">
        <f>F66+G66</f>
        <v/>
      </c>
      <c r="I66" s="16" t="n">
        <v>103.56</v>
      </c>
      <c r="J66" s="17">
        <f>IFERROR(I66/H66,0)</f>
        <v/>
      </c>
      <c r="K66" s="17">
        <f>MAX(0,1-J66)</f>
        <v/>
      </c>
      <c r="L66" s="18" t="n">
        <v>8620.940000000001</v>
      </c>
      <c r="M66" s="16" t="n">
        <v>103.56</v>
      </c>
      <c r="N66" s="15">
        <f>M66+E66*2</f>
        <v/>
      </c>
      <c r="O66" s="17">
        <f>MIN(1.25,J66+15%)</f>
        <v/>
      </c>
      <c r="P66" s="17">
        <f>J66</f>
        <v/>
      </c>
      <c r="Q66" s="17">
        <f>MIN(1.25,O66*P66/90%)</f>
        <v/>
      </c>
    </row>
    <row r="67">
      <c r="A67" s="13" t="n">
        <v>62</v>
      </c>
      <c r="B67" s="14" t="inlineStr">
        <is>
          <t>ABU BAKAR SIDDIQ TAJ MUHA</t>
        </is>
      </c>
      <c r="C67" s="14" t="inlineStr">
        <is>
          <t>PAINTER</t>
        </is>
      </c>
      <c r="D67" s="14" t="inlineStr">
        <is>
          <t>TN0254</t>
        </is>
      </c>
      <c r="E67" s="13" t="n">
        <v>4</v>
      </c>
      <c r="F67" s="15">
        <f>E67*8</f>
        <v/>
      </c>
      <c r="G67" s="16" t="n">
        <v>2</v>
      </c>
      <c r="H67" s="15">
        <f>F67+G67</f>
        <v/>
      </c>
      <c r="I67" s="16" t="n">
        <v>19.38</v>
      </c>
      <c r="J67" s="17">
        <f>IFERROR(I67/H67,0)</f>
        <v/>
      </c>
      <c r="K67" s="17">
        <f>MAX(0,1-J67)</f>
        <v/>
      </c>
      <c r="L67" s="18" t="n">
        <v>1661.45</v>
      </c>
      <c r="M67" s="16" t="n">
        <v>19.38</v>
      </c>
      <c r="N67" s="15">
        <f>M67+E67*2</f>
        <v/>
      </c>
      <c r="O67" s="17">
        <f>MIN(1.25,J67+15%)</f>
        <v/>
      </c>
      <c r="P67" s="17">
        <f>J67</f>
        <v/>
      </c>
      <c r="Q67" s="17">
        <f>MIN(1.25,O67*P67/90%)</f>
        <v/>
      </c>
    </row>
    <row r="68">
      <c r="A68" s="13" t="n">
        <v>63</v>
      </c>
      <c r="B68" s="14" t="inlineStr">
        <is>
          <t>SAMUEL OFORI</t>
        </is>
      </c>
      <c r="C68" s="14" t="inlineStr">
        <is>
          <t>MECHANIC</t>
        </is>
      </c>
      <c r="D68" s="14" t="inlineStr">
        <is>
          <t>TN0256</t>
        </is>
      </c>
      <c r="E68" s="13" t="n">
        <v>25</v>
      </c>
      <c r="F68" s="15">
        <f>E68*8</f>
        <v/>
      </c>
      <c r="G68" s="16" t="n">
        <v>0</v>
      </c>
      <c r="H68" s="15">
        <f>F68+G68</f>
        <v/>
      </c>
      <c r="I68" s="16" t="n">
        <v>151.39</v>
      </c>
      <c r="J68" s="17">
        <f>IFERROR(I68/H68,0)</f>
        <v/>
      </c>
      <c r="K68" s="17">
        <f>MAX(0,1-J68)</f>
        <v/>
      </c>
      <c r="L68" s="18" t="n">
        <v>12896.17</v>
      </c>
      <c r="M68" s="16" t="n">
        <v>151.39</v>
      </c>
      <c r="N68" s="15">
        <f>M68+E68*2</f>
        <v/>
      </c>
      <c r="O68" s="17">
        <f>MIN(1.25,J68+15%)</f>
        <v/>
      </c>
      <c r="P68" s="17">
        <f>J68</f>
        <v/>
      </c>
      <c r="Q68" s="17">
        <f>MIN(1.25,O68*P68/90%)</f>
        <v/>
      </c>
    </row>
    <row r="69">
      <c r="A69" s="13" t="n">
        <v>64</v>
      </c>
      <c r="B69" s="14" t="inlineStr">
        <is>
          <t>SHAJADA ALI SHAIKH</t>
        </is>
      </c>
      <c r="C69" s="14" t="inlineStr">
        <is>
          <t>MECHANIC</t>
        </is>
      </c>
      <c r="D69" s="14" t="inlineStr">
        <is>
          <t>TN0257</t>
        </is>
      </c>
      <c r="E69" s="13" t="n">
        <v>26</v>
      </c>
      <c r="F69" s="15">
        <f>E69*8</f>
        <v/>
      </c>
      <c r="G69" s="16" t="n">
        <v>0</v>
      </c>
      <c r="H69" s="15">
        <f>F69+G69</f>
        <v/>
      </c>
      <c r="I69" s="16" t="n">
        <v>202.58</v>
      </c>
      <c r="J69" s="17">
        <f>IFERROR(I69/H69,0)</f>
        <v/>
      </c>
      <c r="K69" s="17">
        <f>MAX(0,1-J69)</f>
        <v/>
      </c>
      <c r="L69" s="18" t="n">
        <v>17152.01</v>
      </c>
      <c r="M69" s="16" t="n">
        <v>202.58</v>
      </c>
      <c r="N69" s="15">
        <f>M69+E69*2</f>
        <v/>
      </c>
      <c r="O69" s="17">
        <f>MIN(1.25,J69+15%)</f>
        <v/>
      </c>
      <c r="P69" s="17">
        <f>J69</f>
        <v/>
      </c>
      <c r="Q69" s="17">
        <f>MIN(1.25,O69*P69/90%)</f>
        <v/>
      </c>
    </row>
    <row r="70">
      <c r="A70" s="13" t="n">
        <v>65</v>
      </c>
      <c r="B70" s="14" t="inlineStr">
        <is>
          <t>ABDULLAH NABEEL BUTT MAN</t>
        </is>
      </c>
      <c r="C70" s="14" t="inlineStr">
        <is>
          <t>ELECTRICIAN</t>
        </is>
      </c>
      <c r="D70" s="14" t="inlineStr">
        <is>
          <t>TN0258</t>
        </is>
      </c>
      <c r="E70" s="13" t="n">
        <v>27</v>
      </c>
      <c r="F70" s="15">
        <f>E70*8</f>
        <v/>
      </c>
      <c r="G70" s="16" t="n">
        <v>0</v>
      </c>
      <c r="H70" s="15">
        <f>F70+G70</f>
        <v/>
      </c>
      <c r="I70" s="16" t="n">
        <v>113.45</v>
      </c>
      <c r="J70" s="17">
        <f>IFERROR(I70/H70,0)</f>
        <v/>
      </c>
      <c r="K70" s="17">
        <f>MAX(0,1-J70)</f>
        <v/>
      </c>
      <c r="L70" s="18" t="n">
        <v>9781.57</v>
      </c>
      <c r="M70" s="16" t="n">
        <v>113.45</v>
      </c>
      <c r="N70" s="15">
        <f>M70+E70*2</f>
        <v/>
      </c>
      <c r="O70" s="17">
        <f>MIN(1.25,J70+15%)</f>
        <v/>
      </c>
      <c r="P70" s="17">
        <f>J70</f>
        <v/>
      </c>
      <c r="Q70" s="17">
        <f>MIN(1.25,O70*P70/90%)</f>
        <v/>
      </c>
    </row>
    <row r="71">
      <c r="A71" s="13" t="n">
        <v>66</v>
      </c>
      <c r="B71" s="14" t="inlineStr">
        <is>
          <t>MOHAMMED AWAIS ASGHAR</t>
        </is>
      </c>
      <c r="C71" s="14" t="inlineStr">
        <is>
          <t>ELECTRICIAN</t>
        </is>
      </c>
      <c r="D71" s="14" t="inlineStr">
        <is>
          <t>TN0259</t>
        </is>
      </c>
      <c r="E71" s="13" t="n">
        <v>26</v>
      </c>
      <c r="F71" s="15">
        <f>E71*8</f>
        <v/>
      </c>
      <c r="G71" s="16" t="n">
        <v>1</v>
      </c>
      <c r="H71" s="15">
        <f>F71+G71</f>
        <v/>
      </c>
      <c r="I71" s="16" t="n">
        <v>171.15</v>
      </c>
      <c r="J71" s="17">
        <f>IFERROR(I71/H71,0)</f>
        <v/>
      </c>
      <c r="K71" s="17">
        <f>MAX(0,1-J71)</f>
        <v/>
      </c>
      <c r="L71" s="18" t="n">
        <v>14845.57</v>
      </c>
      <c r="M71" s="16" t="n">
        <v>171.15</v>
      </c>
      <c r="N71" s="15">
        <f>M71+E71*2</f>
        <v/>
      </c>
      <c r="O71" s="17">
        <f>MIN(1.25,J71+15%)</f>
        <v/>
      </c>
      <c r="P71" s="17">
        <f>J71</f>
        <v/>
      </c>
      <c r="Q71" s="17">
        <f>MIN(1.25,O71*P71/90%)</f>
        <v/>
      </c>
    </row>
    <row r="72">
      <c r="A72" s="13" t="n">
        <v>67</v>
      </c>
      <c r="B72" s="14" t="inlineStr">
        <is>
          <t>ANIS ALI MIR MIR IBRAB ALI</t>
        </is>
      </c>
      <c r="C72" s="14" t="inlineStr">
        <is>
          <t>MECHANIC</t>
        </is>
      </c>
      <c r="D72" s="14" t="inlineStr">
        <is>
          <t>TN0261</t>
        </is>
      </c>
      <c r="E72" s="13" t="n">
        <v>26</v>
      </c>
      <c r="F72" s="15">
        <f>E72*8</f>
        <v/>
      </c>
      <c r="G72" s="16" t="n">
        <v>1</v>
      </c>
      <c r="H72" s="15">
        <f>F72+G72</f>
        <v/>
      </c>
      <c r="I72" s="16" t="n">
        <v>149.33</v>
      </c>
      <c r="J72" s="17">
        <f>IFERROR(I72/H72,0)</f>
        <v/>
      </c>
      <c r="K72" s="17">
        <f>MAX(0,1-J72)</f>
        <v/>
      </c>
      <c r="L72" s="18" t="n">
        <v>12689.01</v>
      </c>
      <c r="M72" s="16" t="n">
        <v>149.33</v>
      </c>
      <c r="N72" s="15">
        <f>M72+E72*2</f>
        <v/>
      </c>
      <c r="O72" s="17">
        <f>MIN(1.25,J72+15%)</f>
        <v/>
      </c>
      <c r="P72" s="17">
        <f>J72</f>
        <v/>
      </c>
      <c r="Q72" s="17">
        <f>MIN(1.25,O72*P72/90%)</f>
        <v/>
      </c>
    </row>
    <row r="73">
      <c r="A73" s="13" t="n">
        <v>68</v>
      </c>
      <c r="B73" s="14" t="inlineStr">
        <is>
          <t>SABIR ALI MUHAMMAD ALI</t>
        </is>
      </c>
      <c r="C73" s="14" t="inlineStr">
        <is>
          <t>PAINTER</t>
        </is>
      </c>
      <c r="D73" s="14" t="inlineStr">
        <is>
          <t>TN0265</t>
        </is>
      </c>
      <c r="E73" s="13" t="n">
        <v>27</v>
      </c>
      <c r="F73" s="15">
        <f>E73*8</f>
        <v/>
      </c>
      <c r="G73" s="16" t="n">
        <v>0</v>
      </c>
      <c r="H73" s="15">
        <f>F73+G73</f>
        <v/>
      </c>
      <c r="I73" s="16" t="n">
        <v>168.2</v>
      </c>
      <c r="J73" s="17">
        <f>IFERROR(I73/H73,0)</f>
        <v/>
      </c>
      <c r="K73" s="17">
        <f>MAX(0,1-J73)</f>
        <v/>
      </c>
      <c r="L73" s="18" t="n">
        <v>14155.65</v>
      </c>
      <c r="M73" s="16" t="n">
        <v>168.2</v>
      </c>
      <c r="N73" s="15">
        <f>M73+E73*2</f>
        <v/>
      </c>
      <c r="O73" s="17">
        <f>MIN(1.25,J73+15%)</f>
        <v/>
      </c>
      <c r="P73" s="17">
        <f>J73</f>
        <v/>
      </c>
      <c r="Q73" s="17">
        <f>MIN(1.25,O73*P73/90%)</f>
        <v/>
      </c>
    </row>
    <row r="74">
      <c r="A74" s="13" t="n">
        <v>69</v>
      </c>
      <c r="B74" s="14" t="inlineStr">
        <is>
          <t>ARISTOTE TSOPKENG LEWEPO</t>
        </is>
      </c>
      <c r="C74" s="14" t="inlineStr">
        <is>
          <t>MECHANIC</t>
        </is>
      </c>
      <c r="D74" s="14" t="inlineStr">
        <is>
          <t>TN0266</t>
        </is>
      </c>
      <c r="E74" s="13" t="n">
        <v>25</v>
      </c>
      <c r="F74" s="15">
        <f>E74*8</f>
        <v/>
      </c>
      <c r="G74" s="16" t="n">
        <v>0</v>
      </c>
      <c r="H74" s="15">
        <f>F74+G74</f>
        <v/>
      </c>
      <c r="I74" s="16" t="n">
        <v>140.78</v>
      </c>
      <c r="J74" s="17">
        <f>IFERROR(I74/H74,0)</f>
        <v/>
      </c>
      <c r="K74" s="17">
        <f>MAX(0,1-J74)</f>
        <v/>
      </c>
      <c r="L74" s="18" t="n">
        <v>11769.69</v>
      </c>
      <c r="M74" s="16" t="n">
        <v>140.78</v>
      </c>
      <c r="N74" s="15">
        <f>M74+E74*2</f>
        <v/>
      </c>
      <c r="O74" s="17">
        <f>MIN(1.25,J74+15%)</f>
        <v/>
      </c>
      <c r="P74" s="17">
        <f>J74</f>
        <v/>
      </c>
      <c r="Q74" s="17">
        <f>MIN(1.25,O74*P74/90%)</f>
        <v/>
      </c>
    </row>
    <row r="75">
      <c r="A75" s="13" t="n">
        <v>70</v>
      </c>
      <c r="B75" s="14" t="inlineStr">
        <is>
          <t>ALAM ZEB KHAN</t>
        </is>
      </c>
      <c r="C75" s="14" t="inlineStr">
        <is>
          <t>MECHANIC</t>
        </is>
      </c>
      <c r="D75" s="14" t="inlineStr">
        <is>
          <t>TN0268</t>
        </is>
      </c>
      <c r="E75" s="13" t="n">
        <v>26</v>
      </c>
      <c r="F75" s="15">
        <f>E75*8</f>
        <v/>
      </c>
      <c r="G75" s="16" t="n">
        <v>0</v>
      </c>
      <c r="H75" s="15">
        <f>F75+G75</f>
        <v/>
      </c>
      <c r="I75" s="16" t="n">
        <v>115.98</v>
      </c>
      <c r="J75" s="17">
        <f>IFERROR(I75/H75,0)</f>
        <v/>
      </c>
      <c r="K75" s="17">
        <f>MAX(0,1-J75)</f>
        <v/>
      </c>
      <c r="L75" s="18" t="n">
        <v>9668.110000000001</v>
      </c>
      <c r="M75" s="16" t="n">
        <v>115.98</v>
      </c>
      <c r="N75" s="15">
        <f>M75+E75*2</f>
        <v/>
      </c>
      <c r="O75" s="17">
        <f>MIN(1.25,J75+15%)</f>
        <v/>
      </c>
      <c r="P75" s="17">
        <f>J75</f>
        <v/>
      </c>
      <c r="Q75" s="17">
        <f>MIN(1.25,O75*P75/90%)</f>
        <v/>
      </c>
    </row>
    <row r="76">
      <c r="A76" s="13" t="n">
        <v>71</v>
      </c>
      <c r="B76" s="14" t="inlineStr">
        <is>
          <t>Abdulla shekh</t>
        </is>
      </c>
      <c r="C76" s="14" t="inlineStr">
        <is>
          <t>PAINTER</t>
        </is>
      </c>
      <c r="D76" s="14" t="inlineStr">
        <is>
          <t>TN0269</t>
        </is>
      </c>
      <c r="E76" s="13" t="n">
        <v>27</v>
      </c>
      <c r="F76" s="15">
        <f>E76*8</f>
        <v/>
      </c>
      <c r="G76" s="16" t="n">
        <v>4</v>
      </c>
      <c r="H76" s="15">
        <f>F76+G76</f>
        <v/>
      </c>
      <c r="I76" s="16" t="n">
        <v>198.02</v>
      </c>
      <c r="J76" s="17">
        <f>IFERROR(I76/H76,0)</f>
        <v/>
      </c>
      <c r="K76" s="17">
        <f>MAX(0,1-J76)</f>
        <v/>
      </c>
      <c r="L76" s="18" t="n">
        <v>16871.17</v>
      </c>
      <c r="M76" s="16" t="n">
        <v>198.02</v>
      </c>
      <c r="N76" s="15">
        <f>M76+E76*2</f>
        <v/>
      </c>
      <c r="O76" s="17">
        <f>MIN(1.25,J76+15%)</f>
        <v/>
      </c>
      <c r="P76" s="17">
        <f>J76</f>
        <v/>
      </c>
      <c r="Q76" s="17">
        <f>MIN(1.25,O76*P76/90%)</f>
        <v/>
      </c>
    </row>
    <row r="77">
      <c r="A77" s="13" t="n">
        <v>72</v>
      </c>
      <c r="B77" s="14" t="inlineStr">
        <is>
          <t>Abdel Rahman</t>
        </is>
      </c>
      <c r="C77" s="14" t="inlineStr">
        <is>
          <t>PAINTER</t>
        </is>
      </c>
      <c r="D77" s="14" t="inlineStr">
        <is>
          <t>TN0270</t>
        </is>
      </c>
      <c r="E77" s="13" t="n">
        <v>24</v>
      </c>
      <c r="F77" s="15">
        <f>E77*8</f>
        <v/>
      </c>
      <c r="G77" s="16" t="n">
        <v>2</v>
      </c>
      <c r="H77" s="15">
        <f>F77+G77</f>
        <v/>
      </c>
      <c r="I77" s="16" t="n">
        <v>152.43</v>
      </c>
      <c r="J77" s="17">
        <f>IFERROR(I77/H77,0)</f>
        <v/>
      </c>
      <c r="K77" s="17">
        <f>MAX(0,1-J77)</f>
        <v/>
      </c>
      <c r="L77" s="18" t="n">
        <v>12678.7</v>
      </c>
      <c r="M77" s="16" t="n">
        <v>152.43</v>
      </c>
      <c r="N77" s="15">
        <f>M77+E77*2</f>
        <v/>
      </c>
      <c r="O77" s="17">
        <f>MIN(1.25,J77+15%)</f>
        <v/>
      </c>
      <c r="P77" s="17">
        <f>J77</f>
        <v/>
      </c>
      <c r="Q77" s="17">
        <f>MIN(1.25,O77*P77/90%)</f>
        <v/>
      </c>
    </row>
    <row r="78">
      <c r="A78" s="13" t="n">
        <v>73</v>
      </c>
      <c r="B78" s="14" t="inlineStr">
        <is>
          <t>RENJITH RADHAKRISHNAN NA</t>
        </is>
      </c>
      <c r="C78" s="14" t="inlineStr">
        <is>
          <t>PAINTER</t>
        </is>
      </c>
      <c r="D78" s="14" t="inlineStr">
        <is>
          <t>TN0272</t>
        </is>
      </c>
      <c r="E78" s="13" t="n">
        <v>10</v>
      </c>
      <c r="F78" s="15">
        <f>E78*8</f>
        <v/>
      </c>
      <c r="G78" s="16" t="n">
        <v>2</v>
      </c>
      <c r="H78" s="15">
        <f>F78+G78</f>
        <v/>
      </c>
      <c r="I78" s="16" t="n">
        <v>58.56</v>
      </c>
      <c r="J78" s="17">
        <f>IFERROR(I78/H78,0)</f>
        <v/>
      </c>
      <c r="K78" s="17">
        <f>MAX(0,1-J78)</f>
        <v/>
      </c>
      <c r="L78" s="18" t="n">
        <v>4951.75</v>
      </c>
      <c r="M78" s="16" t="n">
        <v>58.56</v>
      </c>
      <c r="N78" s="15">
        <f>M78+E78*2</f>
        <v/>
      </c>
      <c r="O78" s="17">
        <f>MIN(1.25,J78+15%)</f>
        <v/>
      </c>
      <c r="P78" s="17">
        <f>J78</f>
        <v/>
      </c>
      <c r="Q78" s="17">
        <f>MIN(1.25,O78*P78/90%)</f>
        <v/>
      </c>
    </row>
    <row r="79">
      <c r="A79" s="13" t="n">
        <v>74</v>
      </c>
      <c r="B79" s="14" t="inlineStr">
        <is>
          <t>RENJITH RADHAKRISHNAN NA</t>
        </is>
      </c>
      <c r="C79" s="14" t="inlineStr">
        <is>
          <t>PAINTER</t>
        </is>
      </c>
      <c r="D79" s="14" t="inlineStr">
        <is>
          <t>TN0272</t>
        </is>
      </c>
      <c r="E79" s="13" t="n">
        <v>8</v>
      </c>
      <c r="F79" s="15">
        <f>E79*8</f>
        <v/>
      </c>
      <c r="G79" s="16" t="n">
        <v>0</v>
      </c>
      <c r="H79" s="15">
        <f>F79+G79</f>
        <v/>
      </c>
      <c r="I79" s="16" t="n">
        <v>48.81</v>
      </c>
      <c r="J79" s="17">
        <f>IFERROR(I79/H79,0)</f>
        <v/>
      </c>
      <c r="K79" s="17">
        <f>MAX(0,1-J79)</f>
        <v/>
      </c>
      <c r="L79" s="18" t="n">
        <v>4133.46</v>
      </c>
      <c r="M79" s="16" t="n">
        <v>48.81</v>
      </c>
      <c r="N79" s="15">
        <f>M79+E79*2</f>
        <v/>
      </c>
      <c r="O79" s="17">
        <f>MIN(1.25,J79+15%)</f>
        <v/>
      </c>
      <c r="P79" s="17">
        <f>J79</f>
        <v/>
      </c>
      <c r="Q79" s="17">
        <f>MIN(1.25,O79*P79/90%)</f>
        <v/>
      </c>
    </row>
    <row r="80">
      <c r="A80" s="13" t="n">
        <v>75</v>
      </c>
      <c r="B80" s="14" t="inlineStr">
        <is>
          <t>AHID SHAIKH SHAIKH</t>
        </is>
      </c>
      <c r="C80" s="14" t="inlineStr">
        <is>
          <t>PAINTER</t>
        </is>
      </c>
      <c r="D80" s="14" t="inlineStr">
        <is>
          <t>TN0273</t>
        </is>
      </c>
      <c r="E80" s="13" t="n">
        <v>25</v>
      </c>
      <c r="F80" s="15">
        <f>E80*8</f>
        <v/>
      </c>
      <c r="G80" s="16" t="n">
        <v>0</v>
      </c>
      <c r="H80" s="15">
        <f>F80+G80</f>
        <v/>
      </c>
      <c r="I80" s="16" t="n">
        <v>147.74</v>
      </c>
      <c r="J80" s="17">
        <f>IFERROR(I80/H80,0)</f>
        <v/>
      </c>
      <c r="K80" s="17">
        <f>MAX(0,1-J80)</f>
        <v/>
      </c>
      <c r="L80" s="18" t="n">
        <v>12368.61</v>
      </c>
      <c r="M80" s="16" t="n">
        <v>147.74</v>
      </c>
      <c r="N80" s="15">
        <f>M80+E80*2</f>
        <v/>
      </c>
      <c r="O80" s="17">
        <f>MIN(1.25,J80+15%)</f>
        <v/>
      </c>
      <c r="P80" s="17">
        <f>J80</f>
        <v/>
      </c>
      <c r="Q80" s="17">
        <f>MIN(1.25,O80*P80/90%)</f>
        <v/>
      </c>
    </row>
    <row r="81">
      <c r="A81" s="13" t="n">
        <v>76</v>
      </c>
      <c r="B81" s="14" t="inlineStr">
        <is>
          <t>IBRAHIM KHAN</t>
        </is>
      </c>
      <c r="C81" s="14" t="inlineStr">
        <is>
          <t>DENTER</t>
        </is>
      </c>
      <c r="D81" s="14" t="inlineStr">
        <is>
          <t>TN0274</t>
        </is>
      </c>
      <c r="E81" s="13" t="n">
        <v>22</v>
      </c>
      <c r="F81" s="15">
        <f>E81*8</f>
        <v/>
      </c>
      <c r="G81" s="16" t="n">
        <v>0</v>
      </c>
      <c r="H81" s="15">
        <f>F81+G81</f>
        <v/>
      </c>
      <c r="I81" s="16" t="n">
        <v>131.13</v>
      </c>
      <c r="J81" s="17">
        <f>IFERROR(I81/H81,0)</f>
        <v/>
      </c>
      <c r="K81" s="17">
        <f>MAX(0,1-J81)</f>
        <v/>
      </c>
      <c r="L81" s="18" t="n">
        <v>11235.56</v>
      </c>
      <c r="M81" s="16" t="n">
        <v>131.13</v>
      </c>
      <c r="N81" s="15">
        <f>M81+E81*2</f>
        <v/>
      </c>
      <c r="O81" s="17">
        <f>MIN(1.25,J81+15%)</f>
        <v/>
      </c>
      <c r="P81" s="17">
        <f>J81</f>
        <v/>
      </c>
      <c r="Q81" s="17">
        <f>MIN(1.25,O81*P81/90%)</f>
        <v/>
      </c>
    </row>
    <row r="82">
      <c r="A82" s="13" t="n">
        <v>77</v>
      </c>
      <c r="B82" s="14" t="inlineStr">
        <is>
          <t>MUHAMMED SUFIAN QURESHI</t>
        </is>
      </c>
      <c r="C82" s="14" t="inlineStr">
        <is>
          <t>DENTER</t>
        </is>
      </c>
      <c r="D82" s="14" t="inlineStr">
        <is>
          <t>TN0275</t>
        </is>
      </c>
      <c r="E82" s="13" t="n">
        <v>27</v>
      </c>
      <c r="F82" s="15">
        <f>E82*8</f>
        <v/>
      </c>
      <c r="G82" s="16" t="n">
        <v>0</v>
      </c>
      <c r="H82" s="15">
        <f>F82+G82</f>
        <v/>
      </c>
      <c r="I82" s="16" t="n">
        <v>163.31</v>
      </c>
      <c r="J82" s="17">
        <f>IFERROR(I82/H82,0)</f>
        <v/>
      </c>
      <c r="K82" s="17">
        <f>MAX(0,1-J82)</f>
        <v/>
      </c>
      <c r="L82" s="18" t="n">
        <v>14168.66</v>
      </c>
      <c r="M82" s="16" t="n">
        <v>163.31</v>
      </c>
      <c r="N82" s="15">
        <f>M82+E82*2</f>
        <v/>
      </c>
      <c r="O82" s="17">
        <f>MIN(1.25,J82+15%)</f>
        <v/>
      </c>
      <c r="P82" s="17">
        <f>J82</f>
        <v/>
      </c>
      <c r="Q82" s="17">
        <f>MIN(1.25,O82*P82/90%)</f>
        <v/>
      </c>
    </row>
    <row r="83">
      <c r="A83" s="13" t="n">
        <v>78</v>
      </c>
      <c r="B83" s="14" t="inlineStr">
        <is>
          <t>RAGHU</t>
        </is>
      </c>
      <c r="C83" s="14" t="inlineStr">
        <is>
          <t>ELECTRICIAN</t>
        </is>
      </c>
      <c r="D83" s="14" t="inlineStr">
        <is>
          <t>TN0276</t>
        </is>
      </c>
      <c r="E83" s="13" t="n">
        <v>25</v>
      </c>
      <c r="F83" s="15">
        <f>E83*8</f>
        <v/>
      </c>
      <c r="G83" s="16" t="n">
        <v>0</v>
      </c>
      <c r="H83" s="15">
        <f>F83+G83</f>
        <v/>
      </c>
      <c r="I83" s="16" t="n">
        <v>147.22</v>
      </c>
      <c r="J83" s="17">
        <f>IFERROR(I83/H83,0)</f>
        <v/>
      </c>
      <c r="K83" s="17">
        <f>MAX(0,1-J83)</f>
        <v/>
      </c>
      <c r="L83" s="18" t="n">
        <v>12456.14</v>
      </c>
      <c r="M83" s="16" t="n">
        <v>147.22</v>
      </c>
      <c r="N83" s="15">
        <f>M83+E83*2</f>
        <v/>
      </c>
      <c r="O83" s="17">
        <f>MIN(1.25,J83+15%)</f>
        <v/>
      </c>
      <c r="P83" s="17">
        <f>J83</f>
        <v/>
      </c>
      <c r="Q83" s="17">
        <f>MIN(1.25,O83*P83/90%)</f>
        <v/>
      </c>
    </row>
    <row r="84">
      <c r="A84" s="13" t="n">
        <v>79</v>
      </c>
      <c r="B84" s="14" t="inlineStr">
        <is>
          <t>MAHAFUJ ALI MOHAMMAD</t>
        </is>
      </c>
      <c r="C84" s="14" t="inlineStr">
        <is>
          <t>PAINTER</t>
        </is>
      </c>
      <c r="D84" s="14" t="inlineStr">
        <is>
          <t>TN0277</t>
        </is>
      </c>
      <c r="E84" s="13" t="n">
        <v>27</v>
      </c>
      <c r="F84" s="15">
        <f>E84*8</f>
        <v/>
      </c>
      <c r="G84" s="16" t="n">
        <v>0</v>
      </c>
      <c r="H84" s="15">
        <f>F84+G84</f>
        <v/>
      </c>
      <c r="I84" s="16" t="n">
        <v>162.86</v>
      </c>
      <c r="J84" s="17">
        <f>IFERROR(I84/H84,0)</f>
        <v/>
      </c>
      <c r="K84" s="17">
        <f>MAX(0,1-J84)</f>
        <v/>
      </c>
      <c r="L84" s="18" t="n">
        <v>13805.57</v>
      </c>
      <c r="M84" s="16" t="n">
        <v>162.86</v>
      </c>
      <c r="N84" s="15">
        <f>M84+E84*2</f>
        <v/>
      </c>
      <c r="O84" s="17">
        <f>MIN(1.25,J84+15%)</f>
        <v/>
      </c>
      <c r="P84" s="17">
        <f>J84</f>
        <v/>
      </c>
      <c r="Q84" s="17">
        <f>MIN(1.25,O84*P84/90%)</f>
        <v/>
      </c>
    </row>
    <row r="85">
      <c r="A85" s="13" t="n">
        <v>80</v>
      </c>
      <c r="B85" s="14" t="inlineStr">
        <is>
          <t>SK MAKSOOD</t>
        </is>
      </c>
      <c r="C85" s="14" t="inlineStr">
        <is>
          <t>PAINTER</t>
        </is>
      </c>
      <c r="D85" s="14" t="inlineStr">
        <is>
          <t>TN0280</t>
        </is>
      </c>
      <c r="E85" s="13" t="n">
        <v>26</v>
      </c>
      <c r="F85" s="15">
        <f>E85*8</f>
        <v/>
      </c>
      <c r="G85" s="16" t="n">
        <v>0</v>
      </c>
      <c r="H85" s="15">
        <f>F85+G85</f>
        <v/>
      </c>
      <c r="I85" s="16" t="n">
        <v>175.69</v>
      </c>
      <c r="J85" s="17">
        <f>IFERROR(I85/H85,0)</f>
        <v/>
      </c>
      <c r="K85" s="17">
        <f>MAX(0,1-J85)</f>
        <v/>
      </c>
      <c r="L85" s="18" t="n">
        <v>15075.39</v>
      </c>
      <c r="M85" s="16" t="n">
        <v>175.69</v>
      </c>
      <c r="N85" s="15">
        <f>M85+E85*2</f>
        <v/>
      </c>
      <c r="O85" s="17">
        <f>MIN(1.25,J85+15%)</f>
        <v/>
      </c>
      <c r="P85" s="17">
        <f>J85</f>
        <v/>
      </c>
      <c r="Q85" s="17">
        <f>MIN(1.25,O85*P85/90%)</f>
        <v/>
      </c>
    </row>
    <row r="86">
      <c r="A86" s="13" t="n">
        <v>81</v>
      </c>
      <c r="B86" s="14" t="inlineStr">
        <is>
          <t>umar sadiq abdur rahman</t>
        </is>
      </c>
      <c r="C86" s="14" t="inlineStr">
        <is>
          <t>DENTER</t>
        </is>
      </c>
      <c r="D86" s="14" t="inlineStr">
        <is>
          <t>TN0281</t>
        </is>
      </c>
      <c r="E86" s="13" t="n">
        <v>27</v>
      </c>
      <c r="F86" s="15">
        <f>E86*8</f>
        <v/>
      </c>
      <c r="G86" s="16" t="n">
        <v>0</v>
      </c>
      <c r="H86" s="15">
        <f>F86+G86</f>
        <v/>
      </c>
      <c r="I86" s="16" t="n">
        <v>204.6</v>
      </c>
      <c r="J86" s="17">
        <f>IFERROR(I86/H86,0)</f>
        <v/>
      </c>
      <c r="K86" s="17">
        <f>MAX(0,1-J86)</f>
        <v/>
      </c>
      <c r="L86" s="18" t="n">
        <v>17312.84</v>
      </c>
      <c r="M86" s="16" t="n">
        <v>204.6</v>
      </c>
      <c r="N86" s="15">
        <f>M86+E86*2</f>
        <v/>
      </c>
      <c r="O86" s="17">
        <f>MIN(1.25,J86+15%)</f>
        <v/>
      </c>
      <c r="P86" s="17">
        <f>J86</f>
        <v/>
      </c>
      <c r="Q86" s="17">
        <f>MIN(1.25,O86*P86/90%)</f>
        <v/>
      </c>
    </row>
    <row r="87">
      <c r="A87" s="13" t="n">
        <v>82</v>
      </c>
      <c r="B87" s="14" t="inlineStr">
        <is>
          <t>DHANESH E. DEVADAS</t>
        </is>
      </c>
      <c r="C87" s="14" t="inlineStr">
        <is>
          <t>MECHANIC</t>
        </is>
      </c>
      <c r="D87" s="14" t="inlineStr">
        <is>
          <t>TN0283</t>
        </is>
      </c>
      <c r="E87" s="13" t="n">
        <v>23</v>
      </c>
      <c r="F87" s="15">
        <f>E87*8</f>
        <v/>
      </c>
      <c r="G87" s="16" t="n">
        <v>0</v>
      </c>
      <c r="H87" s="15">
        <f>F87+G87</f>
        <v/>
      </c>
      <c r="I87" s="16" t="n">
        <v>59.08</v>
      </c>
      <c r="J87" s="17">
        <f>IFERROR(I87/H87,0)</f>
        <v/>
      </c>
      <c r="K87" s="17">
        <f>MAX(0,1-J87)</f>
        <v/>
      </c>
      <c r="L87" s="18" t="n">
        <v>5042.71</v>
      </c>
      <c r="M87" s="16" t="n">
        <v>59.08</v>
      </c>
      <c r="N87" s="15">
        <f>M87+E87*2</f>
        <v/>
      </c>
      <c r="O87" s="17">
        <f>MIN(1.25,J87+15%)</f>
        <v/>
      </c>
      <c r="P87" s="17">
        <f>J87</f>
        <v/>
      </c>
      <c r="Q87" s="17">
        <f>MIN(1.25,O87*P87/90%)</f>
        <v/>
      </c>
    </row>
    <row r="88">
      <c r="A88" s="13" t="n">
        <v>83</v>
      </c>
      <c r="B88" s="14" t="inlineStr">
        <is>
          <t>Emmanuel Koranteng</t>
        </is>
      </c>
      <c r="C88" s="14" t="inlineStr">
        <is>
          <t>ELECTRICIAN</t>
        </is>
      </c>
      <c r="D88" s="14" t="inlineStr">
        <is>
          <t>TN0285</t>
        </is>
      </c>
      <c r="E88" s="13" t="n">
        <v>24</v>
      </c>
      <c r="F88" s="15">
        <f>E88*8</f>
        <v/>
      </c>
      <c r="G88" s="16" t="n">
        <v>0</v>
      </c>
      <c r="H88" s="15">
        <f>F88+G88</f>
        <v/>
      </c>
      <c r="I88" s="16" t="n">
        <v>132.49</v>
      </c>
      <c r="J88" s="17">
        <f>IFERROR(I88/H88,0)</f>
        <v/>
      </c>
      <c r="K88" s="17">
        <f>MAX(0,1-J88)</f>
        <v/>
      </c>
      <c r="L88" s="18" t="n">
        <v>11018.83</v>
      </c>
      <c r="M88" s="16" t="n">
        <v>132.49</v>
      </c>
      <c r="N88" s="15">
        <f>M88+E88*2</f>
        <v/>
      </c>
      <c r="O88" s="17">
        <f>MIN(1.25,J88+15%)</f>
        <v/>
      </c>
      <c r="P88" s="17">
        <f>J88</f>
        <v/>
      </c>
      <c r="Q88" s="17">
        <f>MIN(1.25,O88*P88/90%)</f>
        <v/>
      </c>
    </row>
    <row r="90">
      <c r="A90" s="19" t="n"/>
      <c r="B90" s="20" t="inlineStr">
        <is>
          <t>TOTAL / AVG</t>
        </is>
      </c>
      <c r="C90" s="19" t="n"/>
      <c r="D90" s="19" t="n"/>
      <c r="E90" s="21">
        <f>SUM(E6:E88)</f>
        <v/>
      </c>
      <c r="F90" s="21">
        <f>SUM(F6:F88)</f>
        <v/>
      </c>
      <c r="G90" s="21">
        <f>SUM(G6:G88)</f>
        <v/>
      </c>
      <c r="H90" s="21">
        <f>SUM(H6:H88)</f>
        <v/>
      </c>
      <c r="I90" s="21">
        <f>SUM(I6:I88)</f>
        <v/>
      </c>
      <c r="J90" s="22">
        <f>AVERAGE(J6:J88)</f>
        <v/>
      </c>
      <c r="K90" s="22">
        <f>AVERAGE(K6:K88)</f>
        <v/>
      </c>
      <c r="L90" s="23">
        <f>SUM(L6:L88)</f>
        <v/>
      </c>
      <c r="M90" s="21">
        <f>SUM(M6:M88)</f>
        <v/>
      </c>
      <c r="N90" s="21">
        <f>SUM(N6:N88)</f>
        <v/>
      </c>
      <c r="O90" s="22">
        <f>AVERAGE(O6:O88)</f>
        <v/>
      </c>
      <c r="P90" s="22">
        <f>AVERAGE(P6:P88)</f>
        <v/>
      </c>
      <c r="Q90" s="22">
        <f>AVERAGE(Q6:Q88)</f>
        <v/>
      </c>
    </row>
  </sheetData>
  <autoFilter ref="A5:Q88"/>
  <mergeCells count="3">
    <mergeCell ref="B2:Q2"/>
    <mergeCell ref="I1:M1"/>
    <mergeCell ref="A1:H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1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3" customWidth="1" min="14" max="14"/>
    <col width="9" customWidth="1" min="15" max="15"/>
    <col width="9" customWidth="1" min="16" max="16"/>
    <col width="9" customWidth="1" min="17" max="17"/>
  </cols>
  <sheetData>
    <row r="1">
      <c r="A1" s="9" t="inlineStr">
        <is>
          <t>Pioneer Car Service Center</t>
        </is>
      </c>
      <c r="I1" s="9" t="inlineStr">
        <is>
          <t>Technicians KPI's Report</t>
        </is>
      </c>
      <c r="N1" s="10" t="inlineStr">
        <is>
          <t>Period:</t>
        </is>
      </c>
      <c r="O1" s="10" t="inlineStr">
        <is>
          <t>Sep-2026 MTD</t>
        </is>
      </c>
    </row>
    <row r="2">
      <c r="A2" s="2" t="inlineStr">
        <is>
          <t>Data status:</t>
        </is>
      </c>
      <c r="B2" s="11" t="inlineStr">
        <is>
          <t>SIMULATED / ESTIMATED - realistic values based on Jul-2026 baseline</t>
        </is>
      </c>
    </row>
    <row r="5" ht="34" customHeight="1">
      <c r="A5" s="12" t="inlineStr">
        <is>
          <t>S.No</t>
        </is>
      </c>
      <c r="B5" s="12" t="inlineStr">
        <is>
          <t>Technician</t>
        </is>
      </c>
      <c r="C5" s="12" t="inlineStr">
        <is>
          <t>Designation</t>
        </is>
      </c>
      <c r="D5" s="12" t="inlineStr">
        <is>
          <t>Tech ID</t>
        </is>
      </c>
      <c r="E5" s="12" t="inlineStr">
        <is>
          <t>Days Present</t>
        </is>
      </c>
      <c r="F5" s="12" t="inlineStr">
        <is>
          <t>Avail. Hrs</t>
        </is>
      </c>
      <c r="G5" s="12" t="inlineStr">
        <is>
          <t>OT</t>
        </is>
      </c>
      <c r="H5" s="12" t="inlineStr">
        <is>
          <t>Total Hrs</t>
        </is>
      </c>
      <c r="I5" s="12" t="inlineStr">
        <is>
          <t>Worked Hrs</t>
        </is>
      </c>
      <c r="J5" s="12" t="inlineStr">
        <is>
          <t>Prod HRS (%)</t>
        </is>
      </c>
      <c r="K5" s="12" t="inlineStr">
        <is>
          <t>Idle HRS (%)</t>
        </is>
      </c>
      <c r="L5" s="12" t="inlineStr">
        <is>
          <t>Billed Value (AED)</t>
        </is>
      </c>
      <c r="M5" s="12" t="inlineStr">
        <is>
          <t>Billed HRS</t>
        </is>
      </c>
      <c r="N5" s="12" t="inlineStr">
        <is>
          <t>Billed Hours</t>
        </is>
      </c>
      <c r="O5" s="12" t="inlineStr">
        <is>
          <t>U%</t>
        </is>
      </c>
      <c r="P5" s="12" t="inlineStr">
        <is>
          <t>P%</t>
        </is>
      </c>
      <c r="Q5" s="12" t="inlineStr">
        <is>
          <t>E%</t>
        </is>
      </c>
    </row>
    <row r="6">
      <c r="A6" s="13" t="n">
        <v>1</v>
      </c>
      <c r="B6" s="14" t="inlineStr">
        <is>
          <t>GERVAS LEONARD</t>
        </is>
      </c>
      <c r="C6" s="14" t="inlineStr">
        <is>
          <t>DENTER</t>
        </is>
      </c>
      <c r="D6" s="14" t="inlineStr">
        <is>
          <t>TN0015</t>
        </is>
      </c>
      <c r="E6" s="13" t="n">
        <v>7</v>
      </c>
      <c r="F6" s="15">
        <f>E6*8</f>
        <v/>
      </c>
      <c r="G6" s="16" t="n">
        <v>1</v>
      </c>
      <c r="H6" s="15">
        <f>F6+G6</f>
        <v/>
      </c>
      <c r="I6" s="16" t="n">
        <v>47.49</v>
      </c>
      <c r="J6" s="17">
        <f>IFERROR(I6/H6,0)</f>
        <v/>
      </c>
      <c r="K6" s="17">
        <f>MAX(0,1-J6)</f>
        <v/>
      </c>
      <c r="L6" s="18" t="n">
        <v>4111.88</v>
      </c>
      <c r="M6" s="16" t="n">
        <v>47.49</v>
      </c>
      <c r="N6" s="15">
        <f>M6+E6*2</f>
        <v/>
      </c>
      <c r="O6" s="17">
        <f>MIN(1.25,J6+15%)</f>
        <v/>
      </c>
      <c r="P6" s="17">
        <f>J6</f>
        <v/>
      </c>
      <c r="Q6" s="17">
        <f>MIN(1.25,O6*P6/90%)</f>
        <v/>
      </c>
    </row>
    <row r="7">
      <c r="A7" s="13" t="n">
        <v>2</v>
      </c>
      <c r="B7" s="14" t="inlineStr">
        <is>
          <t>ATHUMANI HAMAD NGODA</t>
        </is>
      </c>
      <c r="C7" s="14" t="inlineStr">
        <is>
          <t>PAINTER</t>
        </is>
      </c>
      <c r="D7" s="14" t="inlineStr">
        <is>
          <t>TN0018</t>
        </is>
      </c>
      <c r="E7" s="13" t="n">
        <v>7</v>
      </c>
      <c r="F7" s="15">
        <f>E7*8</f>
        <v/>
      </c>
      <c r="G7" s="16" t="n">
        <v>4</v>
      </c>
      <c r="H7" s="15">
        <f>F7+G7</f>
        <v/>
      </c>
      <c r="I7" s="16" t="n">
        <v>51.78</v>
      </c>
      <c r="J7" s="17">
        <f>IFERROR(I7/H7,0)</f>
        <v/>
      </c>
      <c r="K7" s="17">
        <f>MAX(0,1-J7)</f>
        <v/>
      </c>
      <c r="L7" s="18" t="n">
        <v>4433.27</v>
      </c>
      <c r="M7" s="16" t="n">
        <v>51.78</v>
      </c>
      <c r="N7" s="15">
        <f>M7+E7*2</f>
        <v/>
      </c>
      <c r="O7" s="17">
        <f>MIN(1.25,J7+15%)</f>
        <v/>
      </c>
      <c r="P7" s="17">
        <f>J7</f>
        <v/>
      </c>
      <c r="Q7" s="17">
        <f>MIN(1.25,O7*P7/90%)</f>
        <v/>
      </c>
    </row>
    <row r="8">
      <c r="A8" s="13" t="n">
        <v>3</v>
      </c>
      <c r="B8" s="14" t="inlineStr">
        <is>
          <t>SAMIRULLAH Sheikh</t>
        </is>
      </c>
      <c r="C8" s="14" t="inlineStr">
        <is>
          <t>PAINTER</t>
        </is>
      </c>
      <c r="D8" s="14" t="inlineStr">
        <is>
          <t>TN0020</t>
        </is>
      </c>
      <c r="E8" s="13" t="n">
        <v>7</v>
      </c>
      <c r="F8" s="15">
        <f>E8*8</f>
        <v/>
      </c>
      <c r="G8" s="16" t="n">
        <v>1</v>
      </c>
      <c r="H8" s="15">
        <f>F8+G8</f>
        <v/>
      </c>
      <c r="I8" s="16" t="n">
        <v>49.83</v>
      </c>
      <c r="J8" s="17">
        <f>IFERROR(I8/H8,0)</f>
        <v/>
      </c>
      <c r="K8" s="17">
        <f>MAX(0,1-J8)</f>
        <v/>
      </c>
      <c r="L8" s="18" t="n">
        <v>4295.57</v>
      </c>
      <c r="M8" s="16" t="n">
        <v>49.83</v>
      </c>
      <c r="N8" s="15">
        <f>M8+E8*2</f>
        <v/>
      </c>
      <c r="O8" s="17">
        <f>MIN(1.25,J8+15%)</f>
        <v/>
      </c>
      <c r="P8" s="17">
        <f>J8</f>
        <v/>
      </c>
      <c r="Q8" s="17">
        <f>MIN(1.25,O8*P8/90%)</f>
        <v/>
      </c>
    </row>
    <row r="9">
      <c r="A9" s="13" t="n">
        <v>4</v>
      </c>
      <c r="B9" s="14" t="inlineStr">
        <is>
          <t>BRUNO STEPHANO MASASI</t>
        </is>
      </c>
      <c r="C9" s="14" t="inlineStr">
        <is>
          <t>MECHANIC</t>
        </is>
      </c>
      <c r="D9" s="14" t="inlineStr">
        <is>
          <t>TN0023</t>
        </is>
      </c>
      <c r="E9" s="13" t="n">
        <v>7</v>
      </c>
      <c r="F9" s="15">
        <f>E9*8</f>
        <v/>
      </c>
      <c r="G9" s="16" t="n">
        <v>0</v>
      </c>
      <c r="H9" s="15">
        <f>F9+G9</f>
        <v/>
      </c>
      <c r="I9" s="16" t="n">
        <v>50.12</v>
      </c>
      <c r="J9" s="17">
        <f>IFERROR(I9/H9,0)</f>
        <v/>
      </c>
      <c r="K9" s="17">
        <f>MAX(0,1-J9)</f>
        <v/>
      </c>
      <c r="L9" s="18" t="n">
        <v>4175.68</v>
      </c>
      <c r="M9" s="16" t="n">
        <v>50.12</v>
      </c>
      <c r="N9" s="15">
        <f>M9+E9*2</f>
        <v/>
      </c>
      <c r="O9" s="17">
        <f>MIN(1.25,J9+15%)</f>
        <v/>
      </c>
      <c r="P9" s="17">
        <f>J9</f>
        <v/>
      </c>
      <c r="Q9" s="17">
        <f>MIN(1.25,O9*P9/90%)</f>
        <v/>
      </c>
    </row>
    <row r="10">
      <c r="A10" s="13" t="n">
        <v>5</v>
      </c>
      <c r="B10" s="14" t="inlineStr">
        <is>
          <t>JUMANNE ABDUL</t>
        </is>
      </c>
      <c r="C10" s="14" t="inlineStr">
        <is>
          <t>PAINTER</t>
        </is>
      </c>
      <c r="D10" s="14" t="inlineStr">
        <is>
          <t>TN0025</t>
        </is>
      </c>
      <c r="E10" s="13" t="n">
        <v>7</v>
      </c>
      <c r="F10" s="15">
        <f>E10*8</f>
        <v/>
      </c>
      <c r="G10" s="16" t="n">
        <v>4</v>
      </c>
      <c r="H10" s="15">
        <f>F10+G10</f>
        <v/>
      </c>
      <c r="I10" s="16" t="n">
        <v>53.23</v>
      </c>
      <c r="J10" s="17">
        <f>IFERROR(I10/H10,0)</f>
        <v/>
      </c>
      <c r="K10" s="17">
        <f>MAX(0,1-J10)</f>
        <v/>
      </c>
      <c r="L10" s="18" t="n">
        <v>4453.98</v>
      </c>
      <c r="M10" s="16" t="n">
        <v>53.23</v>
      </c>
      <c r="N10" s="15">
        <f>M10+E10*2</f>
        <v/>
      </c>
      <c r="O10" s="17">
        <f>MIN(1.25,J10+15%)</f>
        <v/>
      </c>
      <c r="P10" s="17">
        <f>J10</f>
        <v/>
      </c>
      <c r="Q10" s="17">
        <f>MIN(1.25,O10*P10/90%)</f>
        <v/>
      </c>
    </row>
    <row r="11">
      <c r="A11" s="13" t="n">
        <v>6</v>
      </c>
      <c r="B11" s="14" t="inlineStr">
        <is>
          <t>Ally Bakali Kufikili</t>
        </is>
      </c>
      <c r="C11" s="14" t="inlineStr">
        <is>
          <t>PAINTER</t>
        </is>
      </c>
      <c r="D11" s="14" t="inlineStr">
        <is>
          <t>TN0027</t>
        </is>
      </c>
      <c r="E11" s="13" t="n">
        <v>1</v>
      </c>
      <c r="F11" s="15">
        <f>E11*8</f>
        <v/>
      </c>
      <c r="G11" s="16" t="n">
        <v>0</v>
      </c>
      <c r="H11" s="15">
        <f>F11+G11</f>
        <v/>
      </c>
      <c r="I11" s="16" t="n">
        <v>6.78</v>
      </c>
      <c r="J11" s="17">
        <f>IFERROR(I11/H11,0)</f>
        <v/>
      </c>
      <c r="K11" s="17">
        <f>MAX(0,1-J11)</f>
        <v/>
      </c>
      <c r="L11" s="18" t="n">
        <v>578.49</v>
      </c>
      <c r="M11" s="16" t="n">
        <v>6.78</v>
      </c>
      <c r="N11" s="15">
        <f>M11+E11*2</f>
        <v/>
      </c>
      <c r="O11" s="17">
        <f>MIN(1.25,J11+15%)</f>
        <v/>
      </c>
      <c r="P11" s="17">
        <f>J11</f>
        <v/>
      </c>
      <c r="Q11" s="17">
        <f>MIN(1.25,O11*P11/90%)</f>
        <v/>
      </c>
    </row>
    <row r="12">
      <c r="A12" s="13" t="n">
        <v>7</v>
      </c>
      <c r="B12" s="14" t="inlineStr">
        <is>
          <t>Daudi Khafani Mrisho</t>
        </is>
      </c>
      <c r="C12" s="14" t="inlineStr">
        <is>
          <t>PAINTER</t>
        </is>
      </c>
      <c r="D12" s="14" t="inlineStr">
        <is>
          <t>TN0028</t>
        </is>
      </c>
      <c r="E12" s="13" t="n">
        <v>7</v>
      </c>
      <c r="F12" s="15">
        <f>E12*8</f>
        <v/>
      </c>
      <c r="G12" s="16" t="n">
        <v>0</v>
      </c>
      <c r="H12" s="15">
        <f>F12+G12</f>
        <v/>
      </c>
      <c r="I12" s="16" t="n">
        <v>45.73</v>
      </c>
      <c r="J12" s="17">
        <f>IFERROR(I12/H12,0)</f>
        <v/>
      </c>
      <c r="K12" s="17">
        <f>MAX(0,1-J12)</f>
        <v/>
      </c>
      <c r="L12" s="18" t="n">
        <v>3949.8</v>
      </c>
      <c r="M12" s="16" t="n">
        <v>45.73</v>
      </c>
      <c r="N12" s="15">
        <f>M12+E12*2</f>
        <v/>
      </c>
      <c r="O12" s="17">
        <f>MIN(1.25,J12+15%)</f>
        <v/>
      </c>
      <c r="P12" s="17">
        <f>J12</f>
        <v/>
      </c>
      <c r="Q12" s="17">
        <f>MIN(1.25,O12*P12/90%)</f>
        <v/>
      </c>
    </row>
    <row r="13">
      <c r="A13" s="13" t="n">
        <v>8</v>
      </c>
      <c r="B13" s="14" t="inlineStr">
        <is>
          <t>Aboo Khan Babu Khan</t>
        </is>
      </c>
      <c r="C13" s="14" t="inlineStr">
        <is>
          <t>PAINTER</t>
        </is>
      </c>
      <c r="D13" s="14" t="inlineStr">
        <is>
          <t>TN0041</t>
        </is>
      </c>
      <c r="E13" s="13" t="n">
        <v>6</v>
      </c>
      <c r="F13" s="15">
        <f>E13*8</f>
        <v/>
      </c>
      <c r="G13" s="16" t="n">
        <v>1</v>
      </c>
      <c r="H13" s="15">
        <f>F13+G13</f>
        <v/>
      </c>
      <c r="I13" s="16" t="n">
        <v>39.28</v>
      </c>
      <c r="J13" s="17">
        <f>IFERROR(I13/H13,0)</f>
        <v/>
      </c>
      <c r="K13" s="17">
        <f>MAX(0,1-J13)</f>
        <v/>
      </c>
      <c r="L13" s="18" t="n">
        <v>3294.91</v>
      </c>
      <c r="M13" s="16" t="n">
        <v>39.28</v>
      </c>
      <c r="N13" s="15">
        <f>M13+E13*2</f>
        <v/>
      </c>
      <c r="O13" s="17">
        <f>MIN(1.25,J13+15%)</f>
        <v/>
      </c>
      <c r="P13" s="17">
        <f>J13</f>
        <v/>
      </c>
      <c r="Q13" s="17">
        <f>MIN(1.25,O13*P13/90%)</f>
        <v/>
      </c>
    </row>
    <row r="14">
      <c r="A14" s="13" t="n">
        <v>9</v>
      </c>
      <c r="B14" s="14" t="inlineStr">
        <is>
          <t>AFZAL ALI</t>
        </is>
      </c>
      <c r="C14" s="14" t="inlineStr">
        <is>
          <t>DENTER</t>
        </is>
      </c>
      <c r="D14" s="14" t="inlineStr">
        <is>
          <t>TN0046</t>
        </is>
      </c>
      <c r="E14" s="13" t="n">
        <v>7</v>
      </c>
      <c r="F14" s="15">
        <f>E14*8</f>
        <v/>
      </c>
      <c r="G14" s="16" t="n">
        <v>4</v>
      </c>
      <c r="H14" s="15">
        <f>F14+G14</f>
        <v/>
      </c>
      <c r="I14" s="16" t="n">
        <v>46.27</v>
      </c>
      <c r="J14" s="17">
        <f>IFERROR(I14/H14,0)</f>
        <v/>
      </c>
      <c r="K14" s="17">
        <f>MAX(0,1-J14)</f>
        <v/>
      </c>
      <c r="L14" s="18" t="n">
        <v>3936.45</v>
      </c>
      <c r="M14" s="16" t="n">
        <v>46.27</v>
      </c>
      <c r="N14" s="15">
        <f>M14+E14*2</f>
        <v/>
      </c>
      <c r="O14" s="17">
        <f>MIN(1.25,J14+15%)</f>
        <v/>
      </c>
      <c r="P14" s="17">
        <f>J14</f>
        <v/>
      </c>
      <c r="Q14" s="17">
        <f>MIN(1.25,O14*P14/90%)</f>
        <v/>
      </c>
    </row>
    <row r="15">
      <c r="A15" s="13" t="n">
        <v>10</v>
      </c>
      <c r="B15" s="14" t="inlineStr">
        <is>
          <t>ALEX LAL</t>
        </is>
      </c>
      <c r="C15" s="14" t="inlineStr">
        <is>
          <t>DENTER</t>
        </is>
      </c>
      <c r="D15" s="14" t="inlineStr">
        <is>
          <t>TN0047</t>
        </is>
      </c>
      <c r="E15" s="13" t="n">
        <v>6</v>
      </c>
      <c r="F15" s="15">
        <f>E15*8</f>
        <v/>
      </c>
      <c r="G15" s="16" t="n">
        <v>1</v>
      </c>
      <c r="H15" s="15">
        <f>F15+G15</f>
        <v/>
      </c>
      <c r="I15" s="16" t="n">
        <v>39.76</v>
      </c>
      <c r="J15" s="17">
        <f>IFERROR(I15/H15,0)</f>
        <v/>
      </c>
      <c r="K15" s="17">
        <f>MAX(0,1-J15)</f>
        <v/>
      </c>
      <c r="L15" s="18" t="n">
        <v>3420.97</v>
      </c>
      <c r="M15" s="16" t="n">
        <v>39.76</v>
      </c>
      <c r="N15" s="15">
        <f>M15+E15*2</f>
        <v/>
      </c>
      <c r="O15" s="17">
        <f>MIN(1.25,J15+15%)</f>
        <v/>
      </c>
      <c r="P15" s="17">
        <f>J15</f>
        <v/>
      </c>
      <c r="Q15" s="17">
        <f>MIN(1.25,O15*P15/90%)</f>
        <v/>
      </c>
    </row>
    <row r="16">
      <c r="A16" s="13" t="n">
        <v>11</v>
      </c>
      <c r="B16" s="14" t="inlineStr">
        <is>
          <t>MOHAMMAD ALMAGIR</t>
        </is>
      </c>
      <c r="C16" s="14" t="inlineStr">
        <is>
          <t>MECHANIC</t>
        </is>
      </c>
      <c r="D16" s="14" t="inlineStr">
        <is>
          <t>TN0055</t>
        </is>
      </c>
      <c r="E16" s="13" t="n">
        <v>3</v>
      </c>
      <c r="F16" s="15">
        <f>E16*8</f>
        <v/>
      </c>
      <c r="G16" s="16" t="n">
        <v>0</v>
      </c>
      <c r="H16" s="15">
        <f>F16+G16</f>
        <v/>
      </c>
      <c r="I16" s="16" t="n">
        <v>9.390000000000001</v>
      </c>
      <c r="J16" s="17">
        <f>IFERROR(I16/H16,0)</f>
        <v/>
      </c>
      <c r="K16" s="17">
        <f>MAX(0,1-J16)</f>
        <v/>
      </c>
      <c r="L16" s="18" t="n">
        <v>812.16</v>
      </c>
      <c r="M16" s="16" t="n">
        <v>9.390000000000001</v>
      </c>
      <c r="N16" s="15">
        <f>M16+E16*2</f>
        <v/>
      </c>
      <c r="O16" s="17">
        <f>MIN(1.25,J16+15%)</f>
        <v/>
      </c>
      <c r="P16" s="17">
        <f>J16</f>
        <v/>
      </c>
      <c r="Q16" s="17">
        <f>MIN(1.25,O16*P16/90%)</f>
        <v/>
      </c>
    </row>
    <row r="17">
      <c r="A17" s="13" t="n">
        <v>12</v>
      </c>
      <c r="B17" s="14" t="inlineStr">
        <is>
          <t>ADESH BARUA</t>
        </is>
      </c>
      <c r="C17" s="14" t="inlineStr">
        <is>
          <t>ELECTRICIAN</t>
        </is>
      </c>
      <c r="D17" s="14" t="inlineStr">
        <is>
          <t>TN0064</t>
        </is>
      </c>
      <c r="E17" s="13" t="n">
        <v>7</v>
      </c>
      <c r="F17" s="15">
        <f>E17*8</f>
        <v/>
      </c>
      <c r="G17" s="16" t="n">
        <v>2</v>
      </c>
      <c r="H17" s="15">
        <f>F17+G17</f>
        <v/>
      </c>
      <c r="I17" s="16" t="n">
        <v>48.86</v>
      </c>
      <c r="J17" s="17">
        <f>IFERROR(I17/H17,0)</f>
        <v/>
      </c>
      <c r="K17" s="17">
        <f>MAX(0,1-J17)</f>
        <v/>
      </c>
      <c r="L17" s="18" t="n">
        <v>4114.68</v>
      </c>
      <c r="M17" s="16" t="n">
        <v>48.86</v>
      </c>
      <c r="N17" s="15">
        <f>M17+E17*2</f>
        <v/>
      </c>
      <c r="O17" s="17">
        <f>MIN(1.25,J17+15%)</f>
        <v/>
      </c>
      <c r="P17" s="17">
        <f>J17</f>
        <v/>
      </c>
      <c r="Q17" s="17">
        <f>MIN(1.25,O17*P17/90%)</f>
        <v/>
      </c>
    </row>
    <row r="18">
      <c r="A18" s="13" t="n">
        <v>13</v>
      </c>
      <c r="B18" s="14" t="inlineStr">
        <is>
          <t>BIDYADHAR BHUYAN</t>
        </is>
      </c>
      <c r="C18" s="14" t="inlineStr">
        <is>
          <t>PAINTER</t>
        </is>
      </c>
      <c r="D18" s="14" t="inlineStr">
        <is>
          <t>TN0067</t>
        </is>
      </c>
      <c r="E18" s="13" t="n">
        <v>7</v>
      </c>
      <c r="F18" s="15">
        <f>E18*8</f>
        <v/>
      </c>
      <c r="G18" s="16" t="n">
        <v>0</v>
      </c>
      <c r="H18" s="15">
        <f>F18+G18</f>
        <v/>
      </c>
      <c r="I18" s="16" t="n">
        <v>42.61</v>
      </c>
      <c r="J18" s="17">
        <f>IFERROR(I18/H18,0)</f>
        <v/>
      </c>
      <c r="K18" s="17">
        <f>MAX(0,1-J18)</f>
        <v/>
      </c>
      <c r="L18" s="18" t="n">
        <v>3588.29</v>
      </c>
      <c r="M18" s="16" t="n">
        <v>42.61</v>
      </c>
      <c r="N18" s="15">
        <f>M18+E18*2</f>
        <v/>
      </c>
      <c r="O18" s="17">
        <f>MIN(1.25,J18+15%)</f>
        <v/>
      </c>
      <c r="P18" s="17">
        <f>J18</f>
        <v/>
      </c>
      <c r="Q18" s="17">
        <f>MIN(1.25,O18*P18/90%)</f>
        <v/>
      </c>
    </row>
    <row r="19">
      <c r="A19" s="13" t="n">
        <v>14</v>
      </c>
      <c r="B19" s="14" t="inlineStr">
        <is>
          <t>MOHAMMAD EHTESHAM</t>
        </is>
      </c>
      <c r="C19" s="14" t="inlineStr">
        <is>
          <t>PAINTER</t>
        </is>
      </c>
      <c r="D19" s="14" t="inlineStr">
        <is>
          <t>TN0069</t>
        </is>
      </c>
      <c r="E19" s="13" t="n">
        <v>7</v>
      </c>
      <c r="F19" s="15">
        <f>E19*8</f>
        <v/>
      </c>
      <c r="G19" s="16" t="n">
        <v>4</v>
      </c>
      <c r="H19" s="15">
        <f>F19+G19</f>
        <v/>
      </c>
      <c r="I19" s="16" t="n">
        <v>54.4</v>
      </c>
      <c r="J19" s="17">
        <f>IFERROR(I19/H19,0)</f>
        <v/>
      </c>
      <c r="K19" s="17">
        <f>MAX(0,1-J19)</f>
        <v/>
      </c>
      <c r="L19" s="18" t="n">
        <v>4626.63</v>
      </c>
      <c r="M19" s="16" t="n">
        <v>54.4</v>
      </c>
      <c r="N19" s="15">
        <f>M19+E19*2</f>
        <v/>
      </c>
      <c r="O19" s="17">
        <f>MIN(1.25,J19+15%)</f>
        <v/>
      </c>
      <c r="P19" s="17">
        <f>J19</f>
        <v/>
      </c>
      <c r="Q19" s="17">
        <f>MIN(1.25,O19*P19/90%)</f>
        <v/>
      </c>
    </row>
    <row r="20">
      <c r="A20" s="13" t="n">
        <v>15</v>
      </c>
      <c r="B20" s="14" t="inlineStr">
        <is>
          <t>SHAZADA ALI</t>
        </is>
      </c>
      <c r="C20" s="14" t="inlineStr">
        <is>
          <t>DENTER</t>
        </is>
      </c>
      <c r="D20" s="14" t="inlineStr">
        <is>
          <t>TN0072</t>
        </is>
      </c>
      <c r="E20" s="13" t="n">
        <v>6</v>
      </c>
      <c r="F20" s="15">
        <f>E20*8</f>
        <v/>
      </c>
      <c r="G20" s="16" t="n">
        <v>0</v>
      </c>
      <c r="H20" s="15">
        <f>F20+G20</f>
        <v/>
      </c>
      <c r="I20" s="16" t="n">
        <v>45.34</v>
      </c>
      <c r="J20" s="17">
        <f>IFERROR(I20/H20,0)</f>
        <v/>
      </c>
      <c r="K20" s="17">
        <f>MAX(0,1-J20)</f>
        <v/>
      </c>
      <c r="L20" s="18" t="n">
        <v>3926.49</v>
      </c>
      <c r="M20" s="16" t="n">
        <v>45.34</v>
      </c>
      <c r="N20" s="15">
        <f>M20+E20*2</f>
        <v/>
      </c>
      <c r="O20" s="17">
        <f>MIN(1.25,J20+15%)</f>
        <v/>
      </c>
      <c r="P20" s="17">
        <f>J20</f>
        <v/>
      </c>
      <c r="Q20" s="17">
        <f>MIN(1.25,O20*P20/90%)</f>
        <v/>
      </c>
    </row>
    <row r="21">
      <c r="A21" s="13" t="n">
        <v>16</v>
      </c>
      <c r="B21" s="14" t="inlineStr">
        <is>
          <t>DIVAKAREN</t>
        </is>
      </c>
      <c r="C21" s="14" t="inlineStr">
        <is>
          <t>ELECTRICIAN</t>
        </is>
      </c>
      <c r="D21" s="14" t="inlineStr">
        <is>
          <t>TN0073</t>
        </is>
      </c>
      <c r="E21" s="13" t="n">
        <v>6</v>
      </c>
      <c r="F21" s="15">
        <f>E21*8</f>
        <v/>
      </c>
      <c r="G21" s="16" t="n">
        <v>1</v>
      </c>
      <c r="H21" s="15">
        <f>F21+G21</f>
        <v/>
      </c>
      <c r="I21" s="16" t="n">
        <v>27.95</v>
      </c>
      <c r="J21" s="17">
        <f>IFERROR(I21/H21,0)</f>
        <v/>
      </c>
      <c r="K21" s="17">
        <f>MAX(0,1-J21)</f>
        <v/>
      </c>
      <c r="L21" s="18" t="n">
        <v>2380.66</v>
      </c>
      <c r="M21" s="16" t="n">
        <v>27.95</v>
      </c>
      <c r="N21" s="15">
        <f>M21+E21*2</f>
        <v/>
      </c>
      <c r="O21" s="17">
        <f>MIN(1.25,J21+15%)</f>
        <v/>
      </c>
      <c r="P21" s="17">
        <f>J21</f>
        <v/>
      </c>
      <c r="Q21" s="17">
        <f>MIN(1.25,O21*P21/90%)</f>
        <v/>
      </c>
    </row>
    <row r="22">
      <c r="A22" s="13" t="n">
        <v>17</v>
      </c>
      <c r="B22" s="14" t="inlineStr">
        <is>
          <t>RAGHIN KUVVAKKAT</t>
        </is>
      </c>
      <c r="C22" s="14" t="inlineStr">
        <is>
          <t>MECHANIC</t>
        </is>
      </c>
      <c r="D22" s="14" t="inlineStr">
        <is>
          <t>TN0082</t>
        </is>
      </c>
      <c r="E22" s="13" t="n">
        <v>7</v>
      </c>
      <c r="F22" s="15">
        <f>E22*8</f>
        <v/>
      </c>
      <c r="G22" s="16" t="n">
        <v>0</v>
      </c>
      <c r="H22" s="15">
        <f>F22+G22</f>
        <v/>
      </c>
      <c r="I22" s="16" t="n">
        <v>39.32</v>
      </c>
      <c r="J22" s="17">
        <f>IFERROR(I22/H22,0)</f>
        <v/>
      </c>
      <c r="K22" s="17">
        <f>MAX(0,1-J22)</f>
        <v/>
      </c>
      <c r="L22" s="18" t="n">
        <v>3375.71</v>
      </c>
      <c r="M22" s="16" t="n">
        <v>39.32</v>
      </c>
      <c r="N22" s="15">
        <f>M22+E22*2</f>
        <v/>
      </c>
      <c r="O22" s="17">
        <f>MIN(1.25,J22+15%)</f>
        <v/>
      </c>
      <c r="P22" s="17">
        <f>J22</f>
        <v/>
      </c>
      <c r="Q22" s="17">
        <f>MIN(1.25,O22*P22/90%)</f>
        <v/>
      </c>
    </row>
    <row r="23">
      <c r="A23" s="13" t="n">
        <v>18</v>
      </c>
      <c r="B23" s="14" t="inlineStr">
        <is>
          <t>MARLON LANDICHO</t>
        </is>
      </c>
      <c r="C23" s="14" t="inlineStr">
        <is>
          <t>MECHANIC</t>
        </is>
      </c>
      <c r="D23" s="14" t="inlineStr">
        <is>
          <t>TN0089</t>
        </is>
      </c>
      <c r="E23" s="13" t="n">
        <v>6</v>
      </c>
      <c r="F23" s="15">
        <f>E23*8</f>
        <v/>
      </c>
      <c r="G23" s="16" t="n">
        <v>0</v>
      </c>
      <c r="H23" s="15">
        <f>F23+G23</f>
        <v/>
      </c>
      <c r="I23" s="16" t="n">
        <v>42.75</v>
      </c>
      <c r="J23" s="17">
        <f>IFERROR(I23/H23,0)</f>
        <v/>
      </c>
      <c r="K23" s="17">
        <f>MAX(0,1-J23)</f>
        <v/>
      </c>
      <c r="L23" s="18" t="n">
        <v>3640.07</v>
      </c>
      <c r="M23" s="16" t="n">
        <v>42.75</v>
      </c>
      <c r="N23" s="15">
        <f>M23+E23*2</f>
        <v/>
      </c>
      <c r="O23" s="17">
        <f>MIN(1.25,J23+15%)</f>
        <v/>
      </c>
      <c r="P23" s="17">
        <f>J23</f>
        <v/>
      </c>
      <c r="Q23" s="17">
        <f>MIN(1.25,O23*P23/90%)</f>
        <v/>
      </c>
    </row>
    <row r="24">
      <c r="A24" s="13" t="n">
        <v>19</v>
      </c>
      <c r="B24" s="14" t="inlineStr">
        <is>
          <t>LIJO SAJAN DANIEL</t>
        </is>
      </c>
      <c r="C24" s="14" t="inlineStr">
        <is>
          <t>MECHANIC</t>
        </is>
      </c>
      <c r="D24" s="14" t="inlineStr">
        <is>
          <t>TN0092</t>
        </is>
      </c>
      <c r="E24" s="13" t="n">
        <v>7</v>
      </c>
      <c r="F24" s="15">
        <f>E24*8</f>
        <v/>
      </c>
      <c r="G24" s="16" t="n">
        <v>0</v>
      </c>
      <c r="H24" s="15">
        <f>F24+G24</f>
        <v/>
      </c>
      <c r="I24" s="16" t="n">
        <v>46.32</v>
      </c>
      <c r="J24" s="17">
        <f>IFERROR(I24/H24,0)</f>
        <v/>
      </c>
      <c r="K24" s="17">
        <f>MAX(0,1-J24)</f>
        <v/>
      </c>
      <c r="L24" s="18" t="n">
        <v>3846.52</v>
      </c>
      <c r="M24" s="16" t="n">
        <v>46.32</v>
      </c>
      <c r="N24" s="15">
        <f>M24+E24*2</f>
        <v/>
      </c>
      <c r="O24" s="17">
        <f>MIN(1.25,J24+15%)</f>
        <v/>
      </c>
      <c r="P24" s="17">
        <f>J24</f>
        <v/>
      </c>
      <c r="Q24" s="17">
        <f>MIN(1.25,O24*P24/90%)</f>
        <v/>
      </c>
    </row>
    <row r="25">
      <c r="A25" s="13" t="n">
        <v>20</v>
      </c>
      <c r="B25" s="14" t="inlineStr">
        <is>
          <t>WASSIM AKKARI</t>
        </is>
      </c>
      <c r="C25" s="14" t="inlineStr">
        <is>
          <t>TYRE TECHNICIAN</t>
        </is>
      </c>
      <c r="D25" s="14" t="inlineStr">
        <is>
          <t>TN0096</t>
        </is>
      </c>
      <c r="E25" s="13" t="n">
        <v>6</v>
      </c>
      <c r="F25" s="15">
        <f>E25*8</f>
        <v/>
      </c>
      <c r="G25" s="16" t="n">
        <v>0</v>
      </c>
      <c r="H25" s="15">
        <f>F25+G25</f>
        <v/>
      </c>
      <c r="I25" s="16" t="n">
        <v>31.96</v>
      </c>
      <c r="J25" s="17">
        <f>IFERROR(I25/H25,0)</f>
        <v/>
      </c>
      <c r="K25" s="17">
        <f>MAX(0,1-J25)</f>
        <v/>
      </c>
      <c r="L25" s="18" t="n">
        <v>2653.6</v>
      </c>
      <c r="M25" s="16" t="n">
        <v>31.96</v>
      </c>
      <c r="N25" s="15">
        <f>M25+E25*2</f>
        <v/>
      </c>
      <c r="O25" s="17">
        <f>MIN(1.25,J25+15%)</f>
        <v/>
      </c>
      <c r="P25" s="17">
        <f>J25</f>
        <v/>
      </c>
      <c r="Q25" s="17">
        <f>MIN(1.25,O25*P25/90%)</f>
        <v/>
      </c>
    </row>
    <row r="26">
      <c r="A26" s="13" t="n">
        <v>21</v>
      </c>
      <c r="B26" s="14" t="inlineStr">
        <is>
          <t>MUHAMMAD NADEEM</t>
        </is>
      </c>
      <c r="C26" s="14" t="inlineStr">
        <is>
          <t>MECHANIC</t>
        </is>
      </c>
      <c r="D26" s="14" t="inlineStr">
        <is>
          <t>TN0107</t>
        </is>
      </c>
      <c r="E26" s="13" t="n">
        <v>6</v>
      </c>
      <c r="F26" s="15">
        <f>E26*8</f>
        <v/>
      </c>
      <c r="G26" s="16" t="n">
        <v>2</v>
      </c>
      <c r="H26" s="15">
        <f>F26+G26</f>
        <v/>
      </c>
      <c r="I26" s="16" t="n">
        <v>48.93</v>
      </c>
      <c r="J26" s="17">
        <f>IFERROR(I26/H26,0)</f>
        <v/>
      </c>
      <c r="K26" s="17">
        <f>MAX(0,1-J26)</f>
        <v/>
      </c>
      <c r="L26" s="18" t="n">
        <v>4087.66</v>
      </c>
      <c r="M26" s="16" t="n">
        <v>48.93</v>
      </c>
      <c r="N26" s="15">
        <f>M26+E26*2</f>
        <v/>
      </c>
      <c r="O26" s="17">
        <f>MIN(1.25,J26+15%)</f>
        <v/>
      </c>
      <c r="P26" s="17">
        <f>J26</f>
        <v/>
      </c>
      <c r="Q26" s="17">
        <f>MIN(1.25,O26*P26/90%)</f>
        <v/>
      </c>
    </row>
    <row r="27">
      <c r="A27" s="13" t="n">
        <v>22</v>
      </c>
      <c r="B27" s="14" t="inlineStr">
        <is>
          <t>SURESH NATRAJAN</t>
        </is>
      </c>
      <c r="C27" s="14" t="inlineStr">
        <is>
          <t>TYRE TECHNICIAN</t>
        </is>
      </c>
      <c r="D27" s="14" t="inlineStr">
        <is>
          <t>TN0109</t>
        </is>
      </c>
      <c r="E27" s="13" t="n">
        <v>7</v>
      </c>
      <c r="F27" s="15">
        <f>E27*8</f>
        <v/>
      </c>
      <c r="G27" s="16" t="n">
        <v>2</v>
      </c>
      <c r="H27" s="15">
        <f>F27+G27</f>
        <v/>
      </c>
      <c r="I27" s="16" t="n">
        <v>53.84</v>
      </c>
      <c r="J27" s="17">
        <f>IFERROR(I27/H27,0)</f>
        <v/>
      </c>
      <c r="K27" s="17">
        <f>MAX(0,1-J27)</f>
        <v/>
      </c>
      <c r="L27" s="18" t="n">
        <v>4509.55</v>
      </c>
      <c r="M27" s="16" t="n">
        <v>53.84</v>
      </c>
      <c r="N27" s="15">
        <f>M27+E27*2</f>
        <v/>
      </c>
      <c r="O27" s="17">
        <f>MIN(1.25,J27+15%)</f>
        <v/>
      </c>
      <c r="P27" s="17">
        <f>J27</f>
        <v/>
      </c>
      <c r="Q27" s="17">
        <f>MIN(1.25,O27*P27/90%)</f>
        <v/>
      </c>
    </row>
    <row r="28">
      <c r="A28" s="13" t="n">
        <v>23</v>
      </c>
      <c r="B28" s="14" t="inlineStr">
        <is>
          <t>NIKHIL VARKEY</t>
        </is>
      </c>
      <c r="C28" s="14" t="inlineStr">
        <is>
          <t>ELECTRICIAN</t>
        </is>
      </c>
      <c r="D28" s="14" t="inlineStr">
        <is>
          <t>TN0114</t>
        </is>
      </c>
      <c r="E28" s="13" t="n">
        <v>7</v>
      </c>
      <c r="F28" s="15">
        <f>E28*8</f>
        <v/>
      </c>
      <c r="G28" s="16" t="n">
        <v>0</v>
      </c>
      <c r="H28" s="15">
        <f>F28+G28</f>
        <v/>
      </c>
      <c r="I28" s="16" t="n">
        <v>27.95</v>
      </c>
      <c r="J28" s="17">
        <f>IFERROR(I28/H28,0)</f>
        <v/>
      </c>
      <c r="K28" s="17">
        <f>MAX(0,1-J28)</f>
        <v/>
      </c>
      <c r="L28" s="18" t="n">
        <v>2412.37</v>
      </c>
      <c r="M28" s="16" t="n">
        <v>27.95</v>
      </c>
      <c r="N28" s="15">
        <f>M28+E28*2</f>
        <v/>
      </c>
      <c r="O28" s="17">
        <f>MIN(1.25,J28+15%)</f>
        <v/>
      </c>
      <c r="P28" s="17">
        <f>J28</f>
        <v/>
      </c>
      <c r="Q28" s="17">
        <f>MIN(1.25,O28*P28/90%)</f>
        <v/>
      </c>
    </row>
    <row r="29">
      <c r="A29" s="13" t="n">
        <v>24</v>
      </c>
      <c r="B29" s="14" t="inlineStr">
        <is>
          <t>SAFIQUE MAHAMMAD</t>
        </is>
      </c>
      <c r="C29" s="14" t="inlineStr">
        <is>
          <t>DENTER</t>
        </is>
      </c>
      <c r="D29" s="14" t="inlineStr">
        <is>
          <t>TN0116</t>
        </is>
      </c>
      <c r="E29" s="13" t="n">
        <v>7</v>
      </c>
      <c r="F29" s="15">
        <f>E29*8</f>
        <v/>
      </c>
      <c r="G29" s="16" t="n">
        <v>1</v>
      </c>
      <c r="H29" s="15">
        <f>F29+G29</f>
        <v/>
      </c>
      <c r="I29" s="16" t="n">
        <v>41.42</v>
      </c>
      <c r="J29" s="17">
        <f>IFERROR(I29/H29,0)</f>
        <v/>
      </c>
      <c r="K29" s="17">
        <f>MAX(0,1-J29)</f>
        <v/>
      </c>
      <c r="L29" s="18" t="n">
        <v>3558.31</v>
      </c>
      <c r="M29" s="16" t="n">
        <v>41.42</v>
      </c>
      <c r="N29" s="15">
        <f>M29+E29*2</f>
        <v/>
      </c>
      <c r="O29" s="17">
        <f>MIN(1.25,J29+15%)</f>
        <v/>
      </c>
      <c r="P29" s="17">
        <f>J29</f>
        <v/>
      </c>
      <c r="Q29" s="17">
        <f>MIN(1.25,O29*P29/90%)</f>
        <v/>
      </c>
    </row>
    <row r="30">
      <c r="A30" s="13" t="n">
        <v>25</v>
      </c>
      <c r="B30" s="14" t="inlineStr">
        <is>
          <t>MOHAMAMD RAJA</t>
        </is>
      </c>
      <c r="C30" s="14" t="inlineStr">
        <is>
          <t>PAINTER</t>
        </is>
      </c>
      <c r="D30" s="14" t="inlineStr">
        <is>
          <t>TN0121</t>
        </is>
      </c>
      <c r="E30" s="13" t="n">
        <v>6</v>
      </c>
      <c r="F30" s="15">
        <f>E30*8</f>
        <v/>
      </c>
      <c r="G30" s="16" t="n">
        <v>0</v>
      </c>
      <c r="H30" s="15">
        <f>F30+G30</f>
        <v/>
      </c>
      <c r="I30" s="16" t="n">
        <v>36.44</v>
      </c>
      <c r="J30" s="17">
        <f>IFERROR(I30/H30,0)</f>
        <v/>
      </c>
      <c r="K30" s="17">
        <f>MAX(0,1-J30)</f>
        <v/>
      </c>
      <c r="L30" s="18" t="n">
        <v>3147.25</v>
      </c>
      <c r="M30" s="16" t="n">
        <v>36.44</v>
      </c>
      <c r="N30" s="15">
        <f>M30+E30*2</f>
        <v/>
      </c>
      <c r="O30" s="17">
        <f>MIN(1.25,J30+15%)</f>
        <v/>
      </c>
      <c r="P30" s="17">
        <f>J30</f>
        <v/>
      </c>
      <c r="Q30" s="17">
        <f>MIN(1.25,O30*P30/90%)</f>
        <v/>
      </c>
    </row>
    <row r="31">
      <c r="A31" s="13" t="n">
        <v>26</v>
      </c>
      <c r="B31" s="14" t="inlineStr">
        <is>
          <t>EJAJ AHMAD</t>
        </is>
      </c>
      <c r="C31" s="14" t="inlineStr">
        <is>
          <t>DENTER</t>
        </is>
      </c>
      <c r="D31" s="14" t="inlineStr">
        <is>
          <t>TN0122</t>
        </is>
      </c>
      <c r="E31" s="13" t="n">
        <v>7</v>
      </c>
      <c r="F31" s="15">
        <f>E31*8</f>
        <v/>
      </c>
      <c r="G31" s="16" t="n">
        <v>4</v>
      </c>
      <c r="H31" s="15">
        <f>F31+G31</f>
        <v/>
      </c>
      <c r="I31" s="16" t="n">
        <v>51.63</v>
      </c>
      <c r="J31" s="17">
        <f>IFERROR(I31/H31,0)</f>
        <v/>
      </c>
      <c r="K31" s="17">
        <f>MAX(0,1-J31)</f>
        <v/>
      </c>
      <c r="L31" s="18" t="n">
        <v>4380.86</v>
      </c>
      <c r="M31" s="16" t="n">
        <v>51.63</v>
      </c>
      <c r="N31" s="15">
        <f>M31+E31*2</f>
        <v/>
      </c>
      <c r="O31" s="17">
        <f>MIN(1.25,J31+15%)</f>
        <v/>
      </c>
      <c r="P31" s="17">
        <f>J31</f>
        <v/>
      </c>
      <c r="Q31" s="17">
        <f>MIN(1.25,O31*P31/90%)</f>
        <v/>
      </c>
    </row>
    <row r="32">
      <c r="A32" s="13" t="n">
        <v>27</v>
      </c>
      <c r="B32" s="14" t="inlineStr">
        <is>
          <t>MUHAMMAD ALMAS</t>
        </is>
      </c>
      <c r="C32" s="14" t="inlineStr">
        <is>
          <t>DENTER</t>
        </is>
      </c>
      <c r="D32" s="14" t="inlineStr">
        <is>
          <t>TN0128</t>
        </is>
      </c>
      <c r="E32" s="13" t="n">
        <v>6</v>
      </c>
      <c r="F32" s="15">
        <f>E32*8</f>
        <v/>
      </c>
      <c r="G32" s="16" t="n">
        <v>1</v>
      </c>
      <c r="H32" s="15">
        <f>F32+G32</f>
        <v/>
      </c>
      <c r="I32" s="16" t="n">
        <v>28.58</v>
      </c>
      <c r="J32" s="17">
        <f>IFERROR(I32/H32,0)</f>
        <v/>
      </c>
      <c r="K32" s="17">
        <f>MAX(0,1-J32)</f>
        <v/>
      </c>
      <c r="L32" s="18" t="n">
        <v>2439.88</v>
      </c>
      <c r="M32" s="16" t="n">
        <v>28.58</v>
      </c>
      <c r="N32" s="15">
        <f>M32+E32*2</f>
        <v/>
      </c>
      <c r="O32" s="17">
        <f>MIN(1.25,J32+15%)</f>
        <v/>
      </c>
      <c r="P32" s="17">
        <f>J32</f>
        <v/>
      </c>
      <c r="Q32" s="17">
        <f>MIN(1.25,O32*P32/90%)</f>
        <v/>
      </c>
    </row>
    <row r="33">
      <c r="A33" s="13" t="n">
        <v>28</v>
      </c>
      <c r="B33" s="14" t="inlineStr">
        <is>
          <t>Zeshan</t>
        </is>
      </c>
      <c r="C33" s="14" t="inlineStr">
        <is>
          <t>DENTER</t>
        </is>
      </c>
      <c r="D33" s="14" t="inlineStr">
        <is>
          <t>TN0141</t>
        </is>
      </c>
      <c r="E33" s="13" t="n">
        <v>7</v>
      </c>
      <c r="F33" s="15">
        <f>E33*8</f>
        <v/>
      </c>
      <c r="G33" s="16" t="n">
        <v>0</v>
      </c>
      <c r="H33" s="15">
        <f>F33+G33</f>
        <v/>
      </c>
      <c r="I33" s="16" t="n">
        <v>53.89</v>
      </c>
      <c r="J33" s="17">
        <f>IFERROR(I33/H33,0)</f>
        <v/>
      </c>
      <c r="K33" s="17">
        <f>MAX(0,1-J33)</f>
        <v/>
      </c>
      <c r="L33" s="18" t="n">
        <v>4506.58</v>
      </c>
      <c r="M33" s="16" t="n">
        <v>53.89</v>
      </c>
      <c r="N33" s="15">
        <f>M33+E33*2</f>
        <v/>
      </c>
      <c r="O33" s="17">
        <f>MIN(1.25,J33+15%)</f>
        <v/>
      </c>
      <c r="P33" s="17">
        <f>J33</f>
        <v/>
      </c>
      <c r="Q33" s="17">
        <f>MIN(1.25,O33*P33/90%)</f>
        <v/>
      </c>
    </row>
    <row r="34">
      <c r="A34" s="13" t="n">
        <v>29</v>
      </c>
      <c r="B34" s="14" t="inlineStr">
        <is>
          <t>SAIDAB AHAMED</t>
        </is>
      </c>
      <c r="C34" s="14" t="inlineStr">
        <is>
          <t>TYRE TECHNICIAN</t>
        </is>
      </c>
      <c r="D34" s="14" t="inlineStr">
        <is>
          <t>TN0150</t>
        </is>
      </c>
      <c r="E34" s="13" t="n">
        <v>6</v>
      </c>
      <c r="F34" s="15">
        <f>E34*8</f>
        <v/>
      </c>
      <c r="G34" s="16" t="n">
        <v>0</v>
      </c>
      <c r="H34" s="15">
        <f>F34+G34</f>
        <v/>
      </c>
      <c r="I34" s="16" t="n">
        <v>41.62</v>
      </c>
      <c r="J34" s="17">
        <f>IFERROR(I34/H34,0)</f>
        <v/>
      </c>
      <c r="K34" s="17">
        <f>MAX(0,1-J34)</f>
        <v/>
      </c>
      <c r="L34" s="18" t="n">
        <v>3560.32</v>
      </c>
      <c r="M34" s="16" t="n">
        <v>41.62</v>
      </c>
      <c r="N34" s="15">
        <f>M34+E34*2</f>
        <v/>
      </c>
      <c r="O34" s="17">
        <f>MIN(1.25,J34+15%)</f>
        <v/>
      </c>
      <c r="P34" s="17">
        <f>J34</f>
        <v/>
      </c>
      <c r="Q34" s="17">
        <f>MIN(1.25,O34*P34/90%)</f>
        <v/>
      </c>
    </row>
    <row r="35">
      <c r="A35" s="13" t="n">
        <v>30</v>
      </c>
      <c r="B35" s="14" t="inlineStr">
        <is>
          <t>FRANCIS AGEWI</t>
        </is>
      </c>
      <c r="C35" s="14" t="inlineStr">
        <is>
          <t>MECHANIC</t>
        </is>
      </c>
      <c r="D35" s="14" t="inlineStr">
        <is>
          <t>TN0171</t>
        </is>
      </c>
      <c r="E35" s="13" t="n">
        <v>7</v>
      </c>
      <c r="F35" s="15">
        <f>E35*8</f>
        <v/>
      </c>
      <c r="G35" s="16" t="n">
        <v>1</v>
      </c>
      <c r="H35" s="15">
        <f>F35+G35</f>
        <v/>
      </c>
      <c r="I35" s="16" t="n">
        <v>56.34</v>
      </c>
      <c r="J35" s="17">
        <f>IFERROR(I35/H35,0)</f>
        <v/>
      </c>
      <c r="K35" s="17">
        <f>MAX(0,1-J35)</f>
        <v/>
      </c>
      <c r="L35" s="18" t="n">
        <v>4904.32</v>
      </c>
      <c r="M35" s="16" t="n">
        <v>56.34</v>
      </c>
      <c r="N35" s="15">
        <f>M35+E35*2</f>
        <v/>
      </c>
      <c r="O35" s="17">
        <f>MIN(1.25,J35+15%)</f>
        <v/>
      </c>
      <c r="P35" s="17">
        <f>J35</f>
        <v/>
      </c>
      <c r="Q35" s="17">
        <f>MIN(1.25,O35*P35/90%)</f>
        <v/>
      </c>
    </row>
    <row r="36">
      <c r="A36" s="13" t="n">
        <v>31</v>
      </c>
      <c r="B36" s="14" t="inlineStr">
        <is>
          <t>Ally Ibrahim</t>
        </is>
      </c>
      <c r="C36" s="14" t="inlineStr">
        <is>
          <t>DENTER</t>
        </is>
      </c>
      <c r="D36" s="14" t="inlineStr">
        <is>
          <t>TN0180</t>
        </is>
      </c>
      <c r="E36" s="13" t="n">
        <v>5</v>
      </c>
      <c r="F36" s="15">
        <f>E36*8</f>
        <v/>
      </c>
      <c r="G36" s="16" t="n">
        <v>0</v>
      </c>
      <c r="H36" s="15">
        <f>F36+G36</f>
        <v/>
      </c>
      <c r="I36" s="16" t="n">
        <v>11.88</v>
      </c>
      <c r="J36" s="17">
        <f>IFERROR(I36/H36,0)</f>
        <v/>
      </c>
      <c r="K36" s="17">
        <f>MAX(0,1-J36)</f>
        <v/>
      </c>
      <c r="L36" s="18" t="n">
        <v>1000.03</v>
      </c>
      <c r="M36" s="16" t="n">
        <v>11.88</v>
      </c>
      <c r="N36" s="15">
        <f>M36+E36*2</f>
        <v/>
      </c>
      <c r="O36" s="17">
        <f>MIN(1.25,J36+15%)</f>
        <v/>
      </c>
      <c r="P36" s="17">
        <f>J36</f>
        <v/>
      </c>
      <c r="Q36" s="17">
        <f>MIN(1.25,O36*P36/90%)</f>
        <v/>
      </c>
    </row>
    <row r="37">
      <c r="A37" s="13" t="n">
        <v>32</v>
      </c>
      <c r="B37" s="14" t="inlineStr">
        <is>
          <t>RATHEETH PANICHOTH</t>
        </is>
      </c>
      <c r="C37" s="14" t="inlineStr">
        <is>
          <t>ELECTRICIAN</t>
        </is>
      </c>
      <c r="D37" s="14" t="inlineStr">
        <is>
          <t>TN0181</t>
        </is>
      </c>
      <c r="E37" s="13" t="n">
        <v>7</v>
      </c>
      <c r="F37" s="15">
        <f>E37*8</f>
        <v/>
      </c>
      <c r="G37" s="16" t="n">
        <v>1</v>
      </c>
      <c r="H37" s="15">
        <f>F37+G37</f>
        <v/>
      </c>
      <c r="I37" s="16" t="n">
        <v>45.68</v>
      </c>
      <c r="J37" s="17">
        <f>IFERROR(I37/H37,0)</f>
        <v/>
      </c>
      <c r="K37" s="17">
        <f>MAX(0,1-J37)</f>
        <v/>
      </c>
      <c r="L37" s="18" t="n">
        <v>3915.57</v>
      </c>
      <c r="M37" s="16" t="n">
        <v>45.68</v>
      </c>
      <c r="N37" s="15">
        <f>M37+E37*2</f>
        <v/>
      </c>
      <c r="O37" s="17">
        <f>MIN(1.25,J37+15%)</f>
        <v/>
      </c>
      <c r="P37" s="17">
        <f>J37</f>
        <v/>
      </c>
      <c r="Q37" s="17">
        <f>MIN(1.25,O37*P37/90%)</f>
        <v/>
      </c>
    </row>
    <row r="38">
      <c r="A38" s="13" t="n">
        <v>33</v>
      </c>
      <c r="B38" s="14" t="inlineStr">
        <is>
          <t>MARK KAYIGO</t>
        </is>
      </c>
      <c r="C38" s="14" t="inlineStr">
        <is>
          <t>MECHANIC</t>
        </is>
      </c>
      <c r="D38" s="14" t="inlineStr">
        <is>
          <t>TN0182</t>
        </is>
      </c>
      <c r="E38" s="13" t="n">
        <v>7</v>
      </c>
      <c r="F38" s="15">
        <f>E38*8</f>
        <v/>
      </c>
      <c r="G38" s="16" t="n">
        <v>1</v>
      </c>
      <c r="H38" s="15">
        <f>F38+G38</f>
        <v/>
      </c>
      <c r="I38" s="16" t="n">
        <v>52.53</v>
      </c>
      <c r="J38" s="17">
        <f>IFERROR(I38/H38,0)</f>
        <v/>
      </c>
      <c r="K38" s="17">
        <f>MAX(0,1-J38)</f>
        <v/>
      </c>
      <c r="L38" s="18" t="n">
        <v>4534.35</v>
      </c>
      <c r="M38" s="16" t="n">
        <v>52.53</v>
      </c>
      <c r="N38" s="15">
        <f>M38+E38*2</f>
        <v/>
      </c>
      <c r="O38" s="17">
        <f>MIN(1.25,J38+15%)</f>
        <v/>
      </c>
      <c r="P38" s="17">
        <f>J38</f>
        <v/>
      </c>
      <c r="Q38" s="17">
        <f>MIN(1.25,O38*P38/90%)</f>
        <v/>
      </c>
    </row>
    <row r="39">
      <c r="A39" s="13" t="n">
        <v>34</v>
      </c>
      <c r="B39" s="14" t="inlineStr">
        <is>
          <t>ENAYAT SHAIKH ALI SHAIKH</t>
        </is>
      </c>
      <c r="C39" s="14" t="inlineStr">
        <is>
          <t>PAINTER</t>
        </is>
      </c>
      <c r="D39" s="14" t="inlineStr">
        <is>
          <t>TN0185</t>
        </is>
      </c>
      <c r="E39" s="13" t="n">
        <v>7</v>
      </c>
      <c r="F39" s="15">
        <f>E39*8</f>
        <v/>
      </c>
      <c r="G39" s="16" t="n">
        <v>4</v>
      </c>
      <c r="H39" s="15">
        <f>F39+G39</f>
        <v/>
      </c>
      <c r="I39" s="16" t="n">
        <v>46.17</v>
      </c>
      <c r="J39" s="17">
        <f>IFERROR(I39/H39,0)</f>
        <v/>
      </c>
      <c r="K39" s="17">
        <f>MAX(0,1-J39)</f>
        <v/>
      </c>
      <c r="L39" s="18" t="n">
        <v>3929.76</v>
      </c>
      <c r="M39" s="16" t="n">
        <v>46.17</v>
      </c>
      <c r="N39" s="15">
        <f>M39+E39*2</f>
        <v/>
      </c>
      <c r="O39" s="17">
        <f>MIN(1.25,J39+15%)</f>
        <v/>
      </c>
      <c r="P39" s="17">
        <f>J39</f>
        <v/>
      </c>
      <c r="Q39" s="17">
        <f>MIN(1.25,O39*P39/90%)</f>
        <v/>
      </c>
    </row>
    <row r="40">
      <c r="A40" s="13" t="n">
        <v>35</v>
      </c>
      <c r="B40" s="14" t="inlineStr">
        <is>
          <t>WAQAS GUL KHAN</t>
        </is>
      </c>
      <c r="C40" s="14" t="inlineStr">
        <is>
          <t>PAINTER</t>
        </is>
      </c>
      <c r="D40" s="14" t="inlineStr">
        <is>
          <t>TN0186</t>
        </is>
      </c>
      <c r="E40" s="13" t="n">
        <v>7</v>
      </c>
      <c r="F40" s="15">
        <f>E40*8</f>
        <v/>
      </c>
      <c r="G40" s="16" t="n">
        <v>4</v>
      </c>
      <c r="H40" s="15">
        <f>F40+G40</f>
        <v/>
      </c>
      <c r="I40" s="16" t="n">
        <v>49.06</v>
      </c>
      <c r="J40" s="17">
        <f>IFERROR(I40/H40,0)</f>
        <v/>
      </c>
      <c r="K40" s="17">
        <f>MAX(0,1-J40)</f>
        <v/>
      </c>
      <c r="L40" s="18" t="n">
        <v>4112.51</v>
      </c>
      <c r="M40" s="16" t="n">
        <v>49.06</v>
      </c>
      <c r="N40" s="15">
        <f>M40+E40*2</f>
        <v/>
      </c>
      <c r="O40" s="17">
        <f>MIN(1.25,J40+15%)</f>
        <v/>
      </c>
      <c r="P40" s="17">
        <f>J40</f>
        <v/>
      </c>
      <c r="Q40" s="17">
        <f>MIN(1.25,O40*P40/90%)</f>
        <v/>
      </c>
    </row>
    <row r="41">
      <c r="A41" s="13" t="n">
        <v>36</v>
      </c>
      <c r="B41" s="14" t="inlineStr">
        <is>
          <t>FARHAN AHAMAD</t>
        </is>
      </c>
      <c r="C41" s="14" t="inlineStr">
        <is>
          <t>MECHANIC</t>
        </is>
      </c>
      <c r="D41" s="14" t="inlineStr">
        <is>
          <t>TN0187</t>
        </is>
      </c>
      <c r="E41" s="13" t="n">
        <v>7</v>
      </c>
      <c r="F41" s="15">
        <f>E41*8</f>
        <v/>
      </c>
      <c r="G41" s="16" t="n">
        <v>0</v>
      </c>
      <c r="H41" s="15">
        <f>F41+G41</f>
        <v/>
      </c>
      <c r="I41" s="16" t="n">
        <v>54.87</v>
      </c>
      <c r="J41" s="17">
        <f>IFERROR(I41/H41,0)</f>
        <v/>
      </c>
      <c r="K41" s="17">
        <f>MAX(0,1-J41)</f>
        <v/>
      </c>
      <c r="L41" s="18" t="n">
        <v>4755.45</v>
      </c>
      <c r="M41" s="16" t="n">
        <v>54.87</v>
      </c>
      <c r="N41" s="15">
        <f>M41+E41*2</f>
        <v/>
      </c>
      <c r="O41" s="17">
        <f>MIN(1.25,J41+15%)</f>
        <v/>
      </c>
      <c r="P41" s="17">
        <f>J41</f>
        <v/>
      </c>
      <c r="Q41" s="17">
        <f>MIN(1.25,O41*P41/90%)</f>
        <v/>
      </c>
    </row>
    <row r="42">
      <c r="A42" s="13" t="n">
        <v>37</v>
      </c>
      <c r="B42" s="14" t="inlineStr">
        <is>
          <t>ABDELILAH BOUDINA</t>
        </is>
      </c>
      <c r="C42" s="14" t="inlineStr">
        <is>
          <t>PAINTER</t>
        </is>
      </c>
      <c r="D42" s="14" t="inlineStr">
        <is>
          <t>TN0201</t>
        </is>
      </c>
      <c r="E42" s="13" t="n">
        <v>1</v>
      </c>
      <c r="F42" s="15">
        <f>E42*8</f>
        <v/>
      </c>
      <c r="G42" s="16" t="n">
        <v>1</v>
      </c>
      <c r="H42" s="15">
        <f>F42+G42</f>
        <v/>
      </c>
      <c r="I42" s="16" t="n">
        <v>0.72</v>
      </c>
      <c r="J42" s="17">
        <f>IFERROR(I42/H42,0)</f>
        <v/>
      </c>
      <c r="K42" s="17">
        <f>MAX(0,1-J42)</f>
        <v/>
      </c>
      <c r="L42" s="18" t="n">
        <v>61.92</v>
      </c>
      <c r="M42" s="16" t="n">
        <v>0.72</v>
      </c>
      <c r="N42" s="15">
        <f>M42+E42*2</f>
        <v/>
      </c>
      <c r="O42" s="17">
        <f>MIN(1.25,J42+15%)</f>
        <v/>
      </c>
      <c r="P42" s="17">
        <f>J42</f>
        <v/>
      </c>
      <c r="Q42" s="17">
        <f>MIN(1.25,O42*P42/90%)</f>
        <v/>
      </c>
    </row>
    <row r="43">
      <c r="A43" s="13" t="n">
        <v>38</v>
      </c>
      <c r="B43" s="14" t="inlineStr">
        <is>
          <t>Jerin Kurian Varghese</t>
        </is>
      </c>
      <c r="C43" s="14" t="inlineStr">
        <is>
          <t>MECHANIC</t>
        </is>
      </c>
      <c r="D43" s="14" t="inlineStr">
        <is>
          <t>TN0204</t>
        </is>
      </c>
      <c r="E43" s="13" t="n">
        <v>7</v>
      </c>
      <c r="F43" s="15">
        <f>E43*8</f>
        <v/>
      </c>
      <c r="G43" s="16" t="n">
        <v>4</v>
      </c>
      <c r="H43" s="15">
        <f>F43+G43</f>
        <v/>
      </c>
      <c r="I43" s="16" t="n">
        <v>54.08</v>
      </c>
      <c r="J43" s="17">
        <f>IFERROR(I43/H43,0)</f>
        <v/>
      </c>
      <c r="K43" s="17">
        <f>MAX(0,1-J43)</f>
        <v/>
      </c>
      <c r="L43" s="18" t="n">
        <v>4634.81</v>
      </c>
      <c r="M43" s="16" t="n">
        <v>54.08</v>
      </c>
      <c r="N43" s="15">
        <f>M43+E43*2</f>
        <v/>
      </c>
      <c r="O43" s="17">
        <f>MIN(1.25,J43+15%)</f>
        <v/>
      </c>
      <c r="P43" s="17">
        <f>J43</f>
        <v/>
      </c>
      <c r="Q43" s="17">
        <f>MIN(1.25,O43*P43/90%)</f>
        <v/>
      </c>
    </row>
    <row r="44">
      <c r="A44" s="13" t="n">
        <v>39</v>
      </c>
      <c r="B44" s="14" t="inlineStr">
        <is>
          <t>Mohammed Monjur</t>
        </is>
      </c>
      <c r="C44" s="14" t="inlineStr">
        <is>
          <t>MECHANIC</t>
        </is>
      </c>
      <c r="D44" s="14" t="inlineStr">
        <is>
          <t>TN0209</t>
        </is>
      </c>
      <c r="E44" s="13" t="n">
        <v>7</v>
      </c>
      <c r="F44" s="15">
        <f>E44*8</f>
        <v/>
      </c>
      <c r="G44" s="16" t="n">
        <v>0</v>
      </c>
      <c r="H44" s="15">
        <f>F44+G44</f>
        <v/>
      </c>
      <c r="I44" s="16" t="n">
        <v>51.59</v>
      </c>
      <c r="J44" s="17">
        <f>IFERROR(I44/H44,0)</f>
        <v/>
      </c>
      <c r="K44" s="17">
        <f>MAX(0,1-J44)</f>
        <v/>
      </c>
      <c r="L44" s="18" t="n">
        <v>4343</v>
      </c>
      <c r="M44" s="16" t="n">
        <v>51.59</v>
      </c>
      <c r="N44" s="15">
        <f>M44+E44*2</f>
        <v/>
      </c>
      <c r="O44" s="17">
        <f>MIN(1.25,J44+15%)</f>
        <v/>
      </c>
      <c r="P44" s="17">
        <f>J44</f>
        <v/>
      </c>
      <c r="Q44" s="17">
        <f>MIN(1.25,O44*P44/90%)</f>
        <v/>
      </c>
    </row>
    <row r="45">
      <c r="A45" s="13" t="n">
        <v>40</v>
      </c>
      <c r="B45" s="14" t="inlineStr">
        <is>
          <t>ZEGER HAYAT MOHAMMAD ZA</t>
        </is>
      </c>
      <c r="C45" s="14" t="inlineStr">
        <is>
          <t>MECHANIC</t>
        </is>
      </c>
      <c r="D45" s="14" t="inlineStr">
        <is>
          <t>TN0210</t>
        </is>
      </c>
      <c r="E45" s="13" t="n">
        <v>7</v>
      </c>
      <c r="F45" s="15">
        <f>E45*8</f>
        <v/>
      </c>
      <c r="G45" s="16" t="n">
        <v>1</v>
      </c>
      <c r="H45" s="15">
        <f>F45+G45</f>
        <v/>
      </c>
      <c r="I45" s="16" t="n">
        <v>38.66</v>
      </c>
      <c r="J45" s="17">
        <f>IFERROR(I45/H45,0)</f>
        <v/>
      </c>
      <c r="K45" s="17">
        <f>MAX(0,1-J45)</f>
        <v/>
      </c>
      <c r="L45" s="18" t="n">
        <v>3317.59</v>
      </c>
      <c r="M45" s="16" t="n">
        <v>38.66</v>
      </c>
      <c r="N45" s="15">
        <f>M45+E45*2</f>
        <v/>
      </c>
      <c r="O45" s="17">
        <f>MIN(1.25,J45+15%)</f>
        <v/>
      </c>
      <c r="P45" s="17">
        <f>J45</f>
        <v/>
      </c>
      <c r="Q45" s="17">
        <f>MIN(1.25,O45*P45/90%)</f>
        <v/>
      </c>
    </row>
    <row r="46">
      <c r="A46" s="13" t="n">
        <v>41</v>
      </c>
      <c r="B46" s="14" t="inlineStr">
        <is>
          <t>BIJU M UNNI</t>
        </is>
      </c>
      <c r="C46" s="14" t="inlineStr">
        <is>
          <t>PAINTER</t>
        </is>
      </c>
      <c r="D46" s="14" t="inlineStr">
        <is>
          <t>TN0220</t>
        </is>
      </c>
      <c r="E46" s="13" t="n">
        <v>6</v>
      </c>
      <c r="F46" s="15">
        <f>E46*8</f>
        <v/>
      </c>
      <c r="G46" s="16" t="n">
        <v>2</v>
      </c>
      <c r="H46" s="15">
        <f>F46+G46</f>
        <v/>
      </c>
      <c r="I46" s="16" t="n">
        <v>30.48</v>
      </c>
      <c r="J46" s="17">
        <f>IFERROR(I46/H46,0)</f>
        <v/>
      </c>
      <c r="K46" s="17">
        <f>MAX(0,1-J46)</f>
        <v/>
      </c>
      <c r="L46" s="18" t="n">
        <v>2609.18</v>
      </c>
      <c r="M46" s="16" t="n">
        <v>30.48</v>
      </c>
      <c r="N46" s="15">
        <f>M46+E46*2</f>
        <v/>
      </c>
      <c r="O46" s="17">
        <f>MIN(1.25,J46+15%)</f>
        <v/>
      </c>
      <c r="P46" s="17">
        <f>J46</f>
        <v/>
      </c>
      <c r="Q46" s="17">
        <f>MIN(1.25,O46*P46/90%)</f>
        <v/>
      </c>
    </row>
    <row r="47">
      <c r="A47" s="13" t="n">
        <v>42</v>
      </c>
      <c r="B47" s="14" t="inlineStr">
        <is>
          <t>DIBAKAR SAHOO MURALDHAR</t>
        </is>
      </c>
      <c r="C47" s="14" t="inlineStr">
        <is>
          <t>PAINTER</t>
        </is>
      </c>
      <c r="D47" s="14" t="inlineStr">
        <is>
          <t>TN0222</t>
        </is>
      </c>
      <c r="E47" s="13" t="n">
        <v>6</v>
      </c>
      <c r="F47" s="15">
        <f>E47*8</f>
        <v/>
      </c>
      <c r="G47" s="16" t="n">
        <v>0</v>
      </c>
      <c r="H47" s="15">
        <f>F47+G47</f>
        <v/>
      </c>
      <c r="I47" s="16" t="n">
        <v>41.64</v>
      </c>
      <c r="J47" s="17">
        <f>IFERROR(I47/H47,0)</f>
        <v/>
      </c>
      <c r="K47" s="17">
        <f>MAX(0,1-J47)</f>
        <v/>
      </c>
      <c r="L47" s="18" t="n">
        <v>3453.93</v>
      </c>
      <c r="M47" s="16" t="n">
        <v>41.64</v>
      </c>
      <c r="N47" s="15">
        <f>M47+E47*2</f>
        <v/>
      </c>
      <c r="O47" s="17">
        <f>MIN(1.25,J47+15%)</f>
        <v/>
      </c>
      <c r="P47" s="17">
        <f>J47</f>
        <v/>
      </c>
      <c r="Q47" s="17">
        <f>MIN(1.25,O47*P47/90%)</f>
        <v/>
      </c>
    </row>
    <row r="48">
      <c r="A48" s="13" t="n">
        <v>43</v>
      </c>
      <c r="B48" s="14" t="inlineStr">
        <is>
          <t>SHAIKH MUSTAQUE ALI</t>
        </is>
      </c>
      <c r="C48" s="14" t="inlineStr">
        <is>
          <t>DENTER</t>
        </is>
      </c>
      <c r="D48" s="14" t="inlineStr">
        <is>
          <t>TN0224</t>
        </is>
      </c>
      <c r="E48" s="13" t="n">
        <v>7</v>
      </c>
      <c r="F48" s="15">
        <f>E48*8</f>
        <v/>
      </c>
      <c r="G48" s="16" t="n">
        <v>4</v>
      </c>
      <c r="H48" s="15">
        <f>F48+G48</f>
        <v/>
      </c>
      <c r="I48" s="16" t="n">
        <v>45.47</v>
      </c>
      <c r="J48" s="17">
        <f>IFERROR(I48/H48,0)</f>
        <v/>
      </c>
      <c r="K48" s="17">
        <f>MAX(0,1-J48)</f>
        <v/>
      </c>
      <c r="L48" s="18" t="n">
        <v>3901.42</v>
      </c>
      <c r="M48" s="16" t="n">
        <v>45.47</v>
      </c>
      <c r="N48" s="15">
        <f>M48+E48*2</f>
        <v/>
      </c>
      <c r="O48" s="17">
        <f>MIN(1.25,J48+15%)</f>
        <v/>
      </c>
      <c r="P48" s="17">
        <f>J48</f>
        <v/>
      </c>
      <c r="Q48" s="17">
        <f>MIN(1.25,O48*P48/90%)</f>
        <v/>
      </c>
    </row>
    <row r="49">
      <c r="A49" s="13" t="n">
        <v>44</v>
      </c>
      <c r="B49" s="14" t="inlineStr">
        <is>
          <t>ZEESHAN IHSAN ULLAH</t>
        </is>
      </c>
      <c r="C49" s="14" t="inlineStr">
        <is>
          <t>DENTER</t>
        </is>
      </c>
      <c r="D49" s="14" t="inlineStr">
        <is>
          <t>TN0226</t>
        </is>
      </c>
      <c r="E49" s="13" t="n">
        <v>7</v>
      </c>
      <c r="F49" s="15">
        <f>E49*8</f>
        <v/>
      </c>
      <c r="G49" s="16" t="n">
        <v>1</v>
      </c>
      <c r="H49" s="15">
        <f>F49+G49</f>
        <v/>
      </c>
      <c r="I49" s="16" t="n">
        <v>51.29</v>
      </c>
      <c r="J49" s="17">
        <f>IFERROR(I49/H49,0)</f>
        <v/>
      </c>
      <c r="K49" s="17">
        <f>MAX(0,1-J49)</f>
        <v/>
      </c>
      <c r="L49" s="18" t="n">
        <v>4355.29</v>
      </c>
      <c r="M49" s="16" t="n">
        <v>51.29</v>
      </c>
      <c r="N49" s="15">
        <f>M49+E49*2</f>
        <v/>
      </c>
      <c r="O49" s="17">
        <f>MIN(1.25,J49+15%)</f>
        <v/>
      </c>
      <c r="P49" s="17">
        <f>J49</f>
        <v/>
      </c>
      <c r="Q49" s="17">
        <f>MIN(1.25,O49*P49/90%)</f>
        <v/>
      </c>
    </row>
    <row r="50">
      <c r="A50" s="13" t="n">
        <v>45</v>
      </c>
      <c r="B50" s="14" t="inlineStr">
        <is>
          <t>MIR EJAJ ALI</t>
        </is>
      </c>
      <c r="C50" s="14" t="inlineStr">
        <is>
          <t>PAINTER</t>
        </is>
      </c>
      <c r="D50" s="14" t="inlineStr">
        <is>
          <t>TN0227</t>
        </is>
      </c>
      <c r="E50" s="13" t="n">
        <v>4</v>
      </c>
      <c r="F50" s="15">
        <f>E50*8</f>
        <v/>
      </c>
      <c r="G50" s="16" t="n">
        <v>0</v>
      </c>
      <c r="H50" s="15">
        <f>F50+G50</f>
        <v/>
      </c>
      <c r="I50" s="16" t="n">
        <v>25.79</v>
      </c>
      <c r="J50" s="17">
        <f>IFERROR(I50/H50,0)</f>
        <v/>
      </c>
      <c r="K50" s="17">
        <f>MAX(0,1-J50)</f>
        <v/>
      </c>
      <c r="L50" s="18" t="n">
        <v>2195.98</v>
      </c>
      <c r="M50" s="16" t="n">
        <v>25.79</v>
      </c>
      <c r="N50" s="15">
        <f>M50+E50*2</f>
        <v/>
      </c>
      <c r="O50" s="17">
        <f>MIN(1.25,J50+15%)</f>
        <v/>
      </c>
      <c r="P50" s="17">
        <f>J50</f>
        <v/>
      </c>
      <c r="Q50" s="17">
        <f>MIN(1.25,O50*P50/90%)</f>
        <v/>
      </c>
    </row>
    <row r="51">
      <c r="A51" s="13" t="n">
        <v>46</v>
      </c>
      <c r="B51" s="14" t="inlineStr">
        <is>
          <t>SAMUEL</t>
        </is>
      </c>
      <c r="C51" s="14" t="inlineStr">
        <is>
          <t>MECHANIC</t>
        </is>
      </c>
      <c r="D51" s="14" t="inlineStr">
        <is>
          <t>TN0235</t>
        </is>
      </c>
      <c r="E51" s="13" t="n">
        <v>7</v>
      </c>
      <c r="F51" s="15">
        <f>E51*8</f>
        <v/>
      </c>
      <c r="G51" s="16" t="n">
        <v>0</v>
      </c>
      <c r="H51" s="15">
        <f>F51+G51</f>
        <v/>
      </c>
      <c r="I51" s="16" t="n">
        <v>40.82</v>
      </c>
      <c r="J51" s="17">
        <f>IFERROR(I51/H51,0)</f>
        <v/>
      </c>
      <c r="K51" s="17">
        <f>MAX(0,1-J51)</f>
        <v/>
      </c>
      <c r="L51" s="18" t="n">
        <v>3551.27</v>
      </c>
      <c r="M51" s="16" t="n">
        <v>40.82</v>
      </c>
      <c r="N51" s="15">
        <f>M51+E51*2</f>
        <v/>
      </c>
      <c r="O51" s="17">
        <f>MIN(1.25,J51+15%)</f>
        <v/>
      </c>
      <c r="P51" s="17">
        <f>J51</f>
        <v/>
      </c>
      <c r="Q51" s="17">
        <f>MIN(1.25,O51*P51/90%)</f>
        <v/>
      </c>
    </row>
    <row r="52">
      <c r="A52" s="13" t="n">
        <v>47</v>
      </c>
      <c r="B52" s="14" t="inlineStr">
        <is>
          <t>BILAL KHAN</t>
        </is>
      </c>
      <c r="C52" s="14" t="inlineStr">
        <is>
          <t>DENTER</t>
        </is>
      </c>
      <c r="D52" s="14" t="inlineStr">
        <is>
          <t>TN0236</t>
        </is>
      </c>
      <c r="E52" s="13" t="n">
        <v>7</v>
      </c>
      <c r="F52" s="15">
        <f>E52*8</f>
        <v/>
      </c>
      <c r="G52" s="16" t="n">
        <v>0</v>
      </c>
      <c r="H52" s="15">
        <f>F52+G52</f>
        <v/>
      </c>
      <c r="I52" s="16" t="n">
        <v>46.28</v>
      </c>
      <c r="J52" s="17">
        <f>IFERROR(I52/H52,0)</f>
        <v/>
      </c>
      <c r="K52" s="17">
        <f>MAX(0,1-J52)</f>
        <v/>
      </c>
      <c r="L52" s="18" t="n">
        <v>3942.83</v>
      </c>
      <c r="M52" s="16" t="n">
        <v>46.28</v>
      </c>
      <c r="N52" s="15">
        <f>M52+E52*2</f>
        <v/>
      </c>
      <c r="O52" s="17">
        <f>MIN(1.25,J52+15%)</f>
        <v/>
      </c>
      <c r="P52" s="17">
        <f>J52</f>
        <v/>
      </c>
      <c r="Q52" s="17">
        <f>MIN(1.25,O52*P52/90%)</f>
        <v/>
      </c>
    </row>
    <row r="53">
      <c r="A53" s="13" t="n">
        <v>48</v>
      </c>
      <c r="B53" s="14" t="inlineStr">
        <is>
          <t>Mohammad Habib Raza</t>
        </is>
      </c>
      <c r="C53" s="14" t="inlineStr">
        <is>
          <t>MECHANIC</t>
        </is>
      </c>
      <c r="D53" s="14" t="inlineStr">
        <is>
          <t>TN0238</t>
        </is>
      </c>
      <c r="E53" s="13" t="n">
        <v>7</v>
      </c>
      <c r="F53" s="15">
        <f>E53*8</f>
        <v/>
      </c>
      <c r="G53" s="16" t="n">
        <v>0</v>
      </c>
      <c r="H53" s="15">
        <f>F53+G53</f>
        <v/>
      </c>
      <c r="I53" s="16" t="n">
        <v>55.72</v>
      </c>
      <c r="J53" s="17">
        <f>IFERROR(I53/H53,0)</f>
        <v/>
      </c>
      <c r="K53" s="17">
        <f>MAX(0,1-J53)</f>
        <v/>
      </c>
      <c r="L53" s="18" t="n">
        <v>4826</v>
      </c>
      <c r="M53" s="16" t="n">
        <v>55.72</v>
      </c>
      <c r="N53" s="15">
        <f>M53+E53*2</f>
        <v/>
      </c>
      <c r="O53" s="17">
        <f>MIN(1.25,J53+15%)</f>
        <v/>
      </c>
      <c r="P53" s="17">
        <f>J53</f>
        <v/>
      </c>
      <c r="Q53" s="17">
        <f>MIN(1.25,O53*P53/90%)</f>
        <v/>
      </c>
    </row>
    <row r="54">
      <c r="A54" s="13" t="n">
        <v>49</v>
      </c>
      <c r="B54" s="14" t="inlineStr">
        <is>
          <t>HAMEED ANIYAMPARAMBIL</t>
        </is>
      </c>
      <c r="C54" s="14" t="inlineStr">
        <is>
          <t>MECHANIC</t>
        </is>
      </c>
      <c r="D54" s="14" t="inlineStr">
        <is>
          <t>TN0239</t>
        </is>
      </c>
      <c r="E54" s="13" t="n">
        <v>6</v>
      </c>
      <c r="F54" s="15">
        <f>E54*8</f>
        <v/>
      </c>
      <c r="G54" s="16" t="n">
        <v>4</v>
      </c>
      <c r="H54" s="15">
        <f>F54+G54</f>
        <v/>
      </c>
      <c r="I54" s="16" t="n">
        <v>32.29</v>
      </c>
      <c r="J54" s="17">
        <f>IFERROR(I54/H54,0)</f>
        <v/>
      </c>
      <c r="K54" s="17">
        <f>MAX(0,1-J54)</f>
        <v/>
      </c>
      <c r="L54" s="18" t="n">
        <v>2680.99</v>
      </c>
      <c r="M54" s="16" t="n">
        <v>32.29</v>
      </c>
      <c r="N54" s="15">
        <f>M54+E54*2</f>
        <v/>
      </c>
      <c r="O54" s="17">
        <f>MIN(1.25,J54+15%)</f>
        <v/>
      </c>
      <c r="P54" s="17">
        <f>J54</f>
        <v/>
      </c>
      <c r="Q54" s="17">
        <f>MIN(1.25,O54*P54/90%)</f>
        <v/>
      </c>
    </row>
    <row r="55">
      <c r="A55" s="13" t="n">
        <v>50</v>
      </c>
      <c r="B55" s="14" t="inlineStr">
        <is>
          <t>AMIR HUSSAIN MUHAMMED</t>
        </is>
      </c>
      <c r="C55" s="14" t="inlineStr">
        <is>
          <t>MECHANIC</t>
        </is>
      </c>
      <c r="D55" s="14" t="inlineStr">
        <is>
          <t>TN0241</t>
        </is>
      </c>
      <c r="E55" s="13" t="n">
        <v>7</v>
      </c>
      <c r="F55" s="15">
        <f>E55*8</f>
        <v/>
      </c>
      <c r="G55" s="16" t="n">
        <v>2</v>
      </c>
      <c r="H55" s="15">
        <f>F55+G55</f>
        <v/>
      </c>
      <c r="I55" s="16" t="n">
        <v>52.51</v>
      </c>
      <c r="J55" s="17">
        <f>IFERROR(I55/H55,0)</f>
        <v/>
      </c>
      <c r="K55" s="17">
        <f>MAX(0,1-J55)</f>
        <v/>
      </c>
      <c r="L55" s="18" t="n">
        <v>4359.63</v>
      </c>
      <c r="M55" s="16" t="n">
        <v>52.51</v>
      </c>
      <c r="N55" s="15">
        <f>M55+E55*2</f>
        <v/>
      </c>
      <c r="O55" s="17">
        <f>MIN(1.25,J55+15%)</f>
        <v/>
      </c>
      <c r="P55" s="17">
        <f>J55</f>
        <v/>
      </c>
      <c r="Q55" s="17">
        <f>MIN(1.25,O55*P55/90%)</f>
        <v/>
      </c>
    </row>
    <row r="56">
      <c r="A56" s="13" t="n">
        <v>51</v>
      </c>
      <c r="B56" s="14" t="inlineStr">
        <is>
          <t>LUBAB UDDIN</t>
        </is>
      </c>
      <c r="C56" s="14" t="inlineStr">
        <is>
          <t>DENTER</t>
        </is>
      </c>
      <c r="D56" s="14" t="inlineStr">
        <is>
          <t>TN0242</t>
        </is>
      </c>
      <c r="E56" s="13" t="n">
        <v>5</v>
      </c>
      <c r="F56" s="15">
        <f>E56*8</f>
        <v/>
      </c>
      <c r="G56" s="16" t="n">
        <v>0</v>
      </c>
      <c r="H56" s="15">
        <f>F56+G56</f>
        <v/>
      </c>
      <c r="I56" s="16" t="n">
        <v>28.81</v>
      </c>
      <c r="J56" s="17">
        <f>IFERROR(I56/H56,0)</f>
        <v/>
      </c>
      <c r="K56" s="17">
        <f>MAX(0,1-J56)</f>
        <v/>
      </c>
      <c r="L56" s="18" t="n">
        <v>2387.78</v>
      </c>
      <c r="M56" s="16" t="n">
        <v>28.81</v>
      </c>
      <c r="N56" s="15">
        <f>M56+E56*2</f>
        <v/>
      </c>
      <c r="O56" s="17">
        <f>MIN(1.25,J56+15%)</f>
        <v/>
      </c>
      <c r="P56" s="17">
        <f>J56</f>
        <v/>
      </c>
      <c r="Q56" s="17">
        <f>MIN(1.25,O56*P56/90%)</f>
        <v/>
      </c>
    </row>
    <row r="57">
      <c r="A57" s="13" t="n">
        <v>52</v>
      </c>
      <c r="B57" s="14" t="inlineStr">
        <is>
          <t>MOHAMMED ALI</t>
        </is>
      </c>
      <c r="C57" s="14" t="inlineStr">
        <is>
          <t>DENTER</t>
        </is>
      </c>
      <c r="D57" s="14" t="inlineStr">
        <is>
          <t>TN0244</t>
        </is>
      </c>
      <c r="E57" s="13" t="n">
        <v>7</v>
      </c>
      <c r="F57" s="15">
        <f>E57*8</f>
        <v/>
      </c>
      <c r="G57" s="16" t="n">
        <v>2</v>
      </c>
      <c r="H57" s="15">
        <f>F57+G57</f>
        <v/>
      </c>
      <c r="I57" s="16" t="n">
        <v>41.42</v>
      </c>
      <c r="J57" s="17">
        <f>IFERROR(I57/H57,0)</f>
        <v/>
      </c>
      <c r="K57" s="17">
        <f>MAX(0,1-J57)</f>
        <v/>
      </c>
      <c r="L57" s="18" t="n">
        <v>3562.62</v>
      </c>
      <c r="M57" s="16" t="n">
        <v>41.42</v>
      </c>
      <c r="N57" s="15">
        <f>M57+E57*2</f>
        <v/>
      </c>
      <c r="O57" s="17">
        <f>MIN(1.25,J57+15%)</f>
        <v/>
      </c>
      <c r="P57" s="17">
        <f>J57</f>
        <v/>
      </c>
      <c r="Q57" s="17">
        <f>MIN(1.25,O57*P57/90%)</f>
        <v/>
      </c>
    </row>
    <row r="58">
      <c r="A58" s="13" t="n">
        <v>53</v>
      </c>
      <c r="B58" s="14" t="inlineStr">
        <is>
          <t>MAHMOUD MOHAMED MAHDY</t>
        </is>
      </c>
      <c r="C58" s="14" t="inlineStr">
        <is>
          <t>DENTER</t>
        </is>
      </c>
      <c r="D58" s="14" t="inlineStr">
        <is>
          <t>TN0245</t>
        </is>
      </c>
      <c r="E58" s="13" t="n">
        <v>7</v>
      </c>
      <c r="F58" s="15">
        <f>E58*8</f>
        <v/>
      </c>
      <c r="G58" s="16" t="n">
        <v>0</v>
      </c>
      <c r="H58" s="15">
        <f>F58+G58</f>
        <v/>
      </c>
      <c r="I58" s="16" t="n">
        <v>42.4</v>
      </c>
      <c r="J58" s="17">
        <f>IFERROR(I58/H58,0)</f>
        <v/>
      </c>
      <c r="K58" s="17">
        <f>MAX(0,1-J58)</f>
        <v/>
      </c>
      <c r="L58" s="18" t="n">
        <v>3683.72</v>
      </c>
      <c r="M58" s="16" t="n">
        <v>42.4</v>
      </c>
      <c r="N58" s="15">
        <f>M58+E58*2</f>
        <v/>
      </c>
      <c r="O58" s="17">
        <f>MIN(1.25,J58+15%)</f>
        <v/>
      </c>
      <c r="P58" s="17">
        <f>J58</f>
        <v/>
      </c>
      <c r="Q58" s="17">
        <f>MIN(1.25,O58*P58/90%)</f>
        <v/>
      </c>
    </row>
    <row r="59">
      <c r="A59" s="13" t="n">
        <v>54</v>
      </c>
      <c r="B59" s="14" t="inlineStr">
        <is>
          <t>DIN DAYAL</t>
        </is>
      </c>
      <c r="C59" s="14" t="inlineStr">
        <is>
          <t>ELECTRICIAN</t>
        </is>
      </c>
      <c r="D59" s="14" t="inlineStr">
        <is>
          <t>TN0247</t>
        </is>
      </c>
      <c r="E59" s="13" t="n">
        <v>7</v>
      </c>
      <c r="F59" s="15">
        <f>E59*8</f>
        <v/>
      </c>
      <c r="G59" s="16" t="n">
        <v>0</v>
      </c>
      <c r="H59" s="15">
        <f>F59+G59</f>
        <v/>
      </c>
      <c r="I59" s="16" t="n">
        <v>25.07</v>
      </c>
      <c r="J59" s="17">
        <f>IFERROR(I59/H59,0)</f>
        <v/>
      </c>
      <c r="K59" s="17">
        <f>MAX(0,1-J59)</f>
        <v/>
      </c>
      <c r="L59" s="18" t="n">
        <v>2129.23</v>
      </c>
      <c r="M59" s="16" t="n">
        <v>25.07</v>
      </c>
      <c r="N59" s="15">
        <f>M59+E59*2</f>
        <v/>
      </c>
      <c r="O59" s="17">
        <f>MIN(1.25,J59+15%)</f>
        <v/>
      </c>
      <c r="P59" s="17">
        <f>J59</f>
        <v/>
      </c>
      <c r="Q59" s="17">
        <f>MIN(1.25,O59*P59/90%)</f>
        <v/>
      </c>
    </row>
    <row r="60">
      <c r="A60" s="13" t="n">
        <v>55</v>
      </c>
      <c r="B60" s="14" t="inlineStr">
        <is>
          <t>KAMAL HUSSAIN</t>
        </is>
      </c>
      <c r="C60" s="14" t="inlineStr">
        <is>
          <t>MECHANIC</t>
        </is>
      </c>
      <c r="D60" s="14" t="inlineStr">
        <is>
          <t>TN0248</t>
        </is>
      </c>
      <c r="E60" s="13" t="n">
        <v>7</v>
      </c>
      <c r="F60" s="15">
        <f>E60*8</f>
        <v/>
      </c>
      <c r="G60" s="16" t="n">
        <v>2</v>
      </c>
      <c r="H60" s="15">
        <f>F60+G60</f>
        <v/>
      </c>
      <c r="I60" s="16" t="n">
        <v>50.21</v>
      </c>
      <c r="J60" s="17">
        <f>IFERROR(I60/H60,0)</f>
        <v/>
      </c>
      <c r="K60" s="17">
        <f>MAX(0,1-J60)</f>
        <v/>
      </c>
      <c r="L60" s="18" t="n">
        <v>4341.86</v>
      </c>
      <c r="M60" s="16" t="n">
        <v>50.21</v>
      </c>
      <c r="N60" s="15">
        <f>M60+E60*2</f>
        <v/>
      </c>
      <c r="O60" s="17">
        <f>MIN(1.25,J60+15%)</f>
        <v/>
      </c>
      <c r="P60" s="17">
        <f>J60</f>
        <v/>
      </c>
      <c r="Q60" s="17">
        <f>MIN(1.25,O60*P60/90%)</f>
        <v/>
      </c>
    </row>
    <row r="61">
      <c r="A61" s="13" t="n">
        <v>56</v>
      </c>
      <c r="B61" s="14" t="inlineStr">
        <is>
          <t>RAIS MUHAMMAD KHAN YAR</t>
        </is>
      </c>
      <c r="C61" s="14" t="inlineStr">
        <is>
          <t>PAINTER</t>
        </is>
      </c>
      <c r="D61" s="14" t="inlineStr">
        <is>
          <t>TN0250</t>
        </is>
      </c>
      <c r="E61" s="13" t="n">
        <v>2</v>
      </c>
      <c r="F61" s="15">
        <f>E61*8</f>
        <v/>
      </c>
      <c r="G61" s="16" t="n">
        <v>0</v>
      </c>
      <c r="H61" s="15">
        <f>F61+G61</f>
        <v/>
      </c>
      <c r="I61" s="16" t="n">
        <v>10.75</v>
      </c>
      <c r="J61" s="17">
        <f>IFERROR(I61/H61,0)</f>
        <v/>
      </c>
      <c r="K61" s="17">
        <f>MAX(0,1-J61)</f>
        <v/>
      </c>
      <c r="L61" s="18" t="n">
        <v>894.41</v>
      </c>
      <c r="M61" s="16" t="n">
        <v>10.75</v>
      </c>
      <c r="N61" s="15">
        <f>M61+E61*2</f>
        <v/>
      </c>
      <c r="O61" s="17">
        <f>MIN(1.25,J61+15%)</f>
        <v/>
      </c>
      <c r="P61" s="17">
        <f>J61</f>
        <v/>
      </c>
      <c r="Q61" s="17">
        <f>MIN(1.25,O61*P61/90%)</f>
        <v/>
      </c>
    </row>
    <row r="62">
      <c r="A62" s="13" t="n">
        <v>57</v>
      </c>
      <c r="B62" s="14" t="inlineStr">
        <is>
          <t>RAJEEVAN</t>
        </is>
      </c>
      <c r="C62" s="14" t="inlineStr">
        <is>
          <t>PAINTER</t>
        </is>
      </c>
      <c r="D62" s="14" t="inlineStr">
        <is>
          <t>TN0251</t>
        </is>
      </c>
      <c r="E62" s="13" t="n">
        <v>7</v>
      </c>
      <c r="F62" s="15">
        <f>E62*8</f>
        <v/>
      </c>
      <c r="G62" s="16" t="n">
        <v>4</v>
      </c>
      <c r="H62" s="15">
        <f>F62+G62</f>
        <v/>
      </c>
      <c r="I62" s="16" t="n">
        <v>51.15</v>
      </c>
      <c r="J62" s="17">
        <f>IFERROR(I62/H62,0)</f>
        <v/>
      </c>
      <c r="K62" s="17">
        <f>MAX(0,1-J62)</f>
        <v/>
      </c>
      <c r="L62" s="18" t="n">
        <v>4423.78</v>
      </c>
      <c r="M62" s="16" t="n">
        <v>51.15</v>
      </c>
      <c r="N62" s="15">
        <f>M62+E62*2</f>
        <v/>
      </c>
      <c r="O62" s="17">
        <f>MIN(1.25,J62+15%)</f>
        <v/>
      </c>
      <c r="P62" s="17">
        <f>J62</f>
        <v/>
      </c>
      <c r="Q62" s="17">
        <f>MIN(1.25,O62*P62/90%)</f>
        <v/>
      </c>
    </row>
    <row r="63">
      <c r="A63" s="13" t="n">
        <v>58</v>
      </c>
      <c r="B63" s="14" t="inlineStr">
        <is>
          <t>MOHAMMED NISAR BHURE</t>
        </is>
      </c>
      <c r="C63" s="14" t="inlineStr">
        <is>
          <t>MECHANIC</t>
        </is>
      </c>
      <c r="D63" s="14" t="inlineStr">
        <is>
          <t>TN0252</t>
        </is>
      </c>
      <c r="E63" s="13" t="n">
        <v>6</v>
      </c>
      <c r="F63" s="15">
        <f>E63*8</f>
        <v/>
      </c>
      <c r="G63" s="16" t="n">
        <v>1</v>
      </c>
      <c r="H63" s="15">
        <f>F63+G63</f>
        <v/>
      </c>
      <c r="I63" s="16" t="n">
        <v>30.26</v>
      </c>
      <c r="J63" s="17">
        <f>IFERROR(I63/H63,0)</f>
        <v/>
      </c>
      <c r="K63" s="17">
        <f>MAX(0,1-J63)</f>
        <v/>
      </c>
      <c r="L63" s="18" t="n">
        <v>2609.67</v>
      </c>
      <c r="M63" s="16" t="n">
        <v>30.26</v>
      </c>
      <c r="N63" s="15">
        <f>M63+E63*2</f>
        <v/>
      </c>
      <c r="O63" s="17">
        <f>MIN(1.25,J63+15%)</f>
        <v/>
      </c>
      <c r="P63" s="17">
        <f>J63</f>
        <v/>
      </c>
      <c r="Q63" s="17">
        <f>MIN(1.25,O63*P63/90%)</f>
        <v/>
      </c>
    </row>
    <row r="64">
      <c r="A64" s="13" t="n">
        <v>59</v>
      </c>
      <c r="B64" s="14" t="inlineStr">
        <is>
          <t>MOHAMMED NISAR BHURE</t>
        </is>
      </c>
      <c r="C64" s="14" t="inlineStr">
        <is>
          <t>MECHANIC</t>
        </is>
      </c>
      <c r="D64" s="14" t="inlineStr">
        <is>
          <t>TN0252</t>
        </is>
      </c>
      <c r="E64" s="13" t="n">
        <v>1</v>
      </c>
      <c r="F64" s="15">
        <f>E64*8</f>
        <v/>
      </c>
      <c r="G64" s="16" t="n">
        <v>0</v>
      </c>
      <c r="H64" s="15">
        <f>F64+G64</f>
        <v/>
      </c>
      <c r="I64" s="16" t="n">
        <v>4.91</v>
      </c>
      <c r="J64" s="17">
        <f>IFERROR(I64/H64,0)</f>
        <v/>
      </c>
      <c r="K64" s="17">
        <f>MAX(0,1-J64)</f>
        <v/>
      </c>
      <c r="L64" s="18" t="n">
        <v>412.18</v>
      </c>
      <c r="M64" s="16" t="n">
        <v>4.91</v>
      </c>
      <c r="N64" s="15">
        <f>M64+E64*2</f>
        <v/>
      </c>
      <c r="O64" s="17">
        <f>MIN(1.25,J64+15%)</f>
        <v/>
      </c>
      <c r="P64" s="17">
        <f>J64</f>
        <v/>
      </c>
      <c r="Q64" s="17">
        <f>MIN(1.25,O64*P64/90%)</f>
        <v/>
      </c>
    </row>
    <row r="65">
      <c r="A65" s="13" t="n">
        <v>60</v>
      </c>
      <c r="B65" s="14" t="inlineStr">
        <is>
          <t>VINODKUMAR KIZHAKKEPURA</t>
        </is>
      </c>
      <c r="C65" s="14" t="inlineStr">
        <is>
          <t>MECHANIC</t>
        </is>
      </c>
      <c r="D65" s="14" t="inlineStr">
        <is>
          <t>TN0253</t>
        </is>
      </c>
      <c r="E65" s="13" t="n">
        <v>4</v>
      </c>
      <c r="F65" s="15">
        <f>E65*8</f>
        <v/>
      </c>
      <c r="G65" s="16" t="n">
        <v>1</v>
      </c>
      <c r="H65" s="15">
        <f>F65+G65</f>
        <v/>
      </c>
      <c r="I65" s="16" t="n">
        <v>18.21</v>
      </c>
      <c r="J65" s="17">
        <f>IFERROR(I65/H65,0)</f>
        <v/>
      </c>
      <c r="K65" s="17">
        <f>MAX(0,1-J65)</f>
        <v/>
      </c>
      <c r="L65" s="18" t="n">
        <v>1552.39</v>
      </c>
      <c r="M65" s="16" t="n">
        <v>18.21</v>
      </c>
      <c r="N65" s="15">
        <f>M65+E65*2</f>
        <v/>
      </c>
      <c r="O65" s="17">
        <f>MIN(1.25,J65+15%)</f>
        <v/>
      </c>
      <c r="P65" s="17">
        <f>J65</f>
        <v/>
      </c>
      <c r="Q65" s="17">
        <f>MIN(1.25,O65*P65/90%)</f>
        <v/>
      </c>
    </row>
    <row r="66">
      <c r="A66" s="13" t="n">
        <v>61</v>
      </c>
      <c r="B66" s="14" t="inlineStr">
        <is>
          <t>ABU BAKAR SIDDIQ TAJ MUHA</t>
        </is>
      </c>
      <c r="C66" s="14" t="inlineStr">
        <is>
          <t>PAINTER</t>
        </is>
      </c>
      <c r="D66" s="14" t="inlineStr">
        <is>
          <t>TN0254</t>
        </is>
      </c>
      <c r="E66" s="13" t="n">
        <v>4</v>
      </c>
      <c r="F66" s="15">
        <f>E66*8</f>
        <v/>
      </c>
      <c r="G66" s="16" t="n">
        <v>2</v>
      </c>
      <c r="H66" s="15">
        <f>F66+G66</f>
        <v/>
      </c>
      <c r="I66" s="16" t="n">
        <v>21.42</v>
      </c>
      <c r="J66" s="17">
        <f>IFERROR(I66/H66,0)</f>
        <v/>
      </c>
      <c r="K66" s="17">
        <f>MAX(0,1-J66)</f>
        <v/>
      </c>
      <c r="L66" s="18" t="n">
        <v>1841.06</v>
      </c>
      <c r="M66" s="16" t="n">
        <v>21.42</v>
      </c>
      <c r="N66" s="15">
        <f>M66+E66*2</f>
        <v/>
      </c>
      <c r="O66" s="17">
        <f>MIN(1.25,J66+15%)</f>
        <v/>
      </c>
      <c r="P66" s="17">
        <f>J66</f>
        <v/>
      </c>
      <c r="Q66" s="17">
        <f>MIN(1.25,O66*P66/90%)</f>
        <v/>
      </c>
    </row>
    <row r="67">
      <c r="A67" s="13" t="n">
        <v>62</v>
      </c>
      <c r="B67" s="14" t="inlineStr">
        <is>
          <t>ABU BAKAR SIDDIQ TAJ MUHA</t>
        </is>
      </c>
      <c r="C67" s="14" t="inlineStr">
        <is>
          <t>PAINTER</t>
        </is>
      </c>
      <c r="D67" s="14" t="inlineStr">
        <is>
          <t>TN0254</t>
        </is>
      </c>
      <c r="E67" s="13" t="n">
        <v>1</v>
      </c>
      <c r="F67" s="15">
        <f>E67*8</f>
        <v/>
      </c>
      <c r="G67" s="16" t="n">
        <v>1</v>
      </c>
      <c r="H67" s="15">
        <f>F67+G67</f>
        <v/>
      </c>
      <c r="I67" s="16" t="n">
        <v>4.6</v>
      </c>
      <c r="J67" s="17">
        <f>IFERROR(I67/H67,0)</f>
        <v/>
      </c>
      <c r="K67" s="17">
        <f>MAX(0,1-J67)</f>
        <v/>
      </c>
      <c r="L67" s="18" t="n">
        <v>383.44</v>
      </c>
      <c r="M67" s="16" t="n">
        <v>4.6</v>
      </c>
      <c r="N67" s="15">
        <f>M67+E67*2</f>
        <v/>
      </c>
      <c r="O67" s="17">
        <f>MIN(1.25,J67+15%)</f>
        <v/>
      </c>
      <c r="P67" s="17">
        <f>J67</f>
        <v/>
      </c>
      <c r="Q67" s="17">
        <f>MIN(1.25,O67*P67/90%)</f>
        <v/>
      </c>
    </row>
    <row r="68">
      <c r="A68" s="13" t="n">
        <v>63</v>
      </c>
      <c r="B68" s="14" t="inlineStr">
        <is>
          <t>SAMUEL OFORI</t>
        </is>
      </c>
      <c r="C68" s="14" t="inlineStr">
        <is>
          <t>MECHANIC</t>
        </is>
      </c>
      <c r="D68" s="14" t="inlineStr">
        <is>
          <t>TN0256</t>
        </is>
      </c>
      <c r="E68" s="13" t="n">
        <v>7</v>
      </c>
      <c r="F68" s="15">
        <f>E68*8</f>
        <v/>
      </c>
      <c r="G68" s="16" t="n">
        <v>0</v>
      </c>
      <c r="H68" s="15">
        <f>F68+G68</f>
        <v/>
      </c>
      <c r="I68" s="16" t="n">
        <v>41.52</v>
      </c>
      <c r="J68" s="17">
        <f>IFERROR(I68/H68,0)</f>
        <v/>
      </c>
      <c r="K68" s="17">
        <f>MAX(0,1-J68)</f>
        <v/>
      </c>
      <c r="L68" s="18" t="n">
        <v>3561.53</v>
      </c>
      <c r="M68" s="16" t="n">
        <v>41.52</v>
      </c>
      <c r="N68" s="15">
        <f>M68+E68*2</f>
        <v/>
      </c>
      <c r="O68" s="17">
        <f>MIN(1.25,J68+15%)</f>
        <v/>
      </c>
      <c r="P68" s="17">
        <f>J68</f>
        <v/>
      </c>
      <c r="Q68" s="17">
        <f>MIN(1.25,O68*P68/90%)</f>
        <v/>
      </c>
    </row>
    <row r="69">
      <c r="A69" s="13" t="n">
        <v>64</v>
      </c>
      <c r="B69" s="14" t="inlineStr">
        <is>
          <t>SHAJADA ALI SHAIKH</t>
        </is>
      </c>
      <c r="C69" s="14" t="inlineStr">
        <is>
          <t>MECHANIC</t>
        </is>
      </c>
      <c r="D69" s="14" t="inlineStr">
        <is>
          <t>TN0257</t>
        </is>
      </c>
      <c r="E69" s="13" t="n">
        <v>7</v>
      </c>
      <c r="F69" s="15">
        <f>E69*8</f>
        <v/>
      </c>
      <c r="G69" s="16" t="n">
        <v>0</v>
      </c>
      <c r="H69" s="15">
        <f>F69+G69</f>
        <v/>
      </c>
      <c r="I69" s="16" t="n">
        <v>50.75</v>
      </c>
      <c r="J69" s="17">
        <f>IFERROR(I69/H69,0)</f>
        <v/>
      </c>
      <c r="K69" s="17">
        <f>MAX(0,1-J69)</f>
        <v/>
      </c>
      <c r="L69" s="18" t="n">
        <v>4254.12</v>
      </c>
      <c r="M69" s="16" t="n">
        <v>50.75</v>
      </c>
      <c r="N69" s="15">
        <f>M69+E69*2</f>
        <v/>
      </c>
      <c r="O69" s="17">
        <f>MIN(1.25,J69+15%)</f>
        <v/>
      </c>
      <c r="P69" s="17">
        <f>J69</f>
        <v/>
      </c>
      <c r="Q69" s="17">
        <f>MIN(1.25,O69*P69/90%)</f>
        <v/>
      </c>
    </row>
    <row r="70">
      <c r="A70" s="13" t="n">
        <v>65</v>
      </c>
      <c r="B70" s="14" t="inlineStr">
        <is>
          <t>ABDULLAH NABEEL BUTT MAN</t>
        </is>
      </c>
      <c r="C70" s="14" t="inlineStr">
        <is>
          <t>ELECTRICIAN</t>
        </is>
      </c>
      <c r="D70" s="14" t="inlineStr">
        <is>
          <t>TN0258</t>
        </is>
      </c>
      <c r="E70" s="13" t="n">
        <v>7</v>
      </c>
      <c r="F70" s="15">
        <f>E70*8</f>
        <v/>
      </c>
      <c r="G70" s="16" t="n">
        <v>2</v>
      </c>
      <c r="H70" s="15">
        <f>F70+G70</f>
        <v/>
      </c>
      <c r="I70" s="16" t="n">
        <v>29.79</v>
      </c>
      <c r="J70" s="17">
        <f>IFERROR(I70/H70,0)</f>
        <v/>
      </c>
      <c r="K70" s="17">
        <f>MAX(0,1-J70)</f>
        <v/>
      </c>
      <c r="L70" s="18" t="n">
        <v>2539.9</v>
      </c>
      <c r="M70" s="16" t="n">
        <v>29.79</v>
      </c>
      <c r="N70" s="15">
        <f>M70+E70*2</f>
        <v/>
      </c>
      <c r="O70" s="17">
        <f>MIN(1.25,J70+15%)</f>
        <v/>
      </c>
      <c r="P70" s="17">
        <f>J70</f>
        <v/>
      </c>
      <c r="Q70" s="17">
        <f>MIN(1.25,O70*P70/90%)</f>
        <v/>
      </c>
    </row>
    <row r="71">
      <c r="A71" s="13" t="n">
        <v>66</v>
      </c>
      <c r="B71" s="14" t="inlineStr">
        <is>
          <t>MOHAMMED AWAIS ASGHAR</t>
        </is>
      </c>
      <c r="C71" s="14" t="inlineStr">
        <is>
          <t>ELECTRICIAN</t>
        </is>
      </c>
      <c r="D71" s="14" t="inlineStr">
        <is>
          <t>TN0259</t>
        </is>
      </c>
      <c r="E71" s="13" t="n">
        <v>7</v>
      </c>
      <c r="F71" s="15">
        <f>E71*8</f>
        <v/>
      </c>
      <c r="G71" s="16" t="n">
        <v>4</v>
      </c>
      <c r="H71" s="15">
        <f>F71+G71</f>
        <v/>
      </c>
      <c r="I71" s="16" t="n">
        <v>49.08</v>
      </c>
      <c r="J71" s="17">
        <f>IFERROR(I71/H71,0)</f>
        <v/>
      </c>
      <c r="K71" s="17">
        <f>MAX(0,1-J71)</f>
        <v/>
      </c>
      <c r="L71" s="18" t="n">
        <v>4188.78</v>
      </c>
      <c r="M71" s="16" t="n">
        <v>49.08</v>
      </c>
      <c r="N71" s="15">
        <f>M71+E71*2</f>
        <v/>
      </c>
      <c r="O71" s="17">
        <f>MIN(1.25,J71+15%)</f>
        <v/>
      </c>
      <c r="P71" s="17">
        <f>J71</f>
        <v/>
      </c>
      <c r="Q71" s="17">
        <f>MIN(1.25,O71*P71/90%)</f>
        <v/>
      </c>
    </row>
    <row r="72">
      <c r="A72" s="13" t="n">
        <v>67</v>
      </c>
      <c r="B72" s="14" t="inlineStr">
        <is>
          <t>ANIS ALI MIR MIR IBRAB ALI</t>
        </is>
      </c>
      <c r="C72" s="14" t="inlineStr">
        <is>
          <t>MECHANIC</t>
        </is>
      </c>
      <c r="D72" s="14" t="inlineStr">
        <is>
          <t>TN0261</t>
        </is>
      </c>
      <c r="E72" s="13" t="n">
        <v>6</v>
      </c>
      <c r="F72" s="15">
        <f>E72*8</f>
        <v/>
      </c>
      <c r="G72" s="16" t="n">
        <v>0</v>
      </c>
      <c r="H72" s="15">
        <f>F72+G72</f>
        <v/>
      </c>
      <c r="I72" s="16" t="n">
        <v>35.33</v>
      </c>
      <c r="J72" s="17">
        <f>IFERROR(I72/H72,0)</f>
        <v/>
      </c>
      <c r="K72" s="17">
        <f>MAX(0,1-J72)</f>
        <v/>
      </c>
      <c r="L72" s="18" t="n">
        <v>3035.81</v>
      </c>
      <c r="M72" s="16" t="n">
        <v>35.33</v>
      </c>
      <c r="N72" s="15">
        <f>M72+E72*2</f>
        <v/>
      </c>
      <c r="O72" s="17">
        <f>MIN(1.25,J72+15%)</f>
        <v/>
      </c>
      <c r="P72" s="17">
        <f>J72</f>
        <v/>
      </c>
      <c r="Q72" s="17">
        <f>MIN(1.25,O72*P72/90%)</f>
        <v/>
      </c>
    </row>
    <row r="73">
      <c r="A73" s="13" t="n">
        <v>68</v>
      </c>
      <c r="B73" s="14" t="inlineStr">
        <is>
          <t>SABIR ALI MUHAMMAD ALI</t>
        </is>
      </c>
      <c r="C73" s="14" t="inlineStr">
        <is>
          <t>PAINTER</t>
        </is>
      </c>
      <c r="D73" s="14" t="inlineStr">
        <is>
          <t>TN0265</t>
        </is>
      </c>
      <c r="E73" s="13" t="n">
        <v>6</v>
      </c>
      <c r="F73" s="15">
        <f>E73*8</f>
        <v/>
      </c>
      <c r="G73" s="16" t="n">
        <v>0</v>
      </c>
      <c r="H73" s="15">
        <f>F73+G73</f>
        <v/>
      </c>
      <c r="I73" s="16" t="n">
        <v>37.6</v>
      </c>
      <c r="J73" s="17">
        <f>IFERROR(I73/H73,0)</f>
        <v/>
      </c>
      <c r="K73" s="17">
        <f>MAX(0,1-J73)</f>
        <v/>
      </c>
      <c r="L73" s="18" t="n">
        <v>3223.91</v>
      </c>
      <c r="M73" s="16" t="n">
        <v>37.6</v>
      </c>
      <c r="N73" s="15">
        <f>M73+E73*2</f>
        <v/>
      </c>
      <c r="O73" s="17">
        <f>MIN(1.25,J73+15%)</f>
        <v/>
      </c>
      <c r="P73" s="17">
        <f>J73</f>
        <v/>
      </c>
      <c r="Q73" s="17">
        <f>MIN(1.25,O73*P73/90%)</f>
        <v/>
      </c>
    </row>
    <row r="74">
      <c r="A74" s="13" t="n">
        <v>69</v>
      </c>
      <c r="B74" s="14" t="inlineStr">
        <is>
          <t>ARISTOTE TSOPKENG LEWEPO</t>
        </is>
      </c>
      <c r="C74" s="14" t="inlineStr">
        <is>
          <t>MECHANIC</t>
        </is>
      </c>
      <c r="D74" s="14" t="inlineStr">
        <is>
          <t>TN0266</t>
        </is>
      </c>
      <c r="E74" s="13" t="n">
        <v>7</v>
      </c>
      <c r="F74" s="15">
        <f>E74*8</f>
        <v/>
      </c>
      <c r="G74" s="16" t="n">
        <v>0</v>
      </c>
      <c r="H74" s="15">
        <f>F74+G74</f>
        <v/>
      </c>
      <c r="I74" s="16" t="n">
        <v>42.03</v>
      </c>
      <c r="J74" s="17">
        <f>IFERROR(I74/H74,0)</f>
        <v/>
      </c>
      <c r="K74" s="17">
        <f>MAX(0,1-J74)</f>
        <v/>
      </c>
      <c r="L74" s="18" t="n">
        <v>3589.03</v>
      </c>
      <c r="M74" s="16" t="n">
        <v>42.03</v>
      </c>
      <c r="N74" s="15">
        <f>M74+E74*2</f>
        <v/>
      </c>
      <c r="O74" s="17">
        <f>MIN(1.25,J74+15%)</f>
        <v/>
      </c>
      <c r="P74" s="17">
        <f>J74</f>
        <v/>
      </c>
      <c r="Q74" s="17">
        <f>MIN(1.25,O74*P74/90%)</f>
        <v/>
      </c>
    </row>
    <row r="75">
      <c r="A75" s="13" t="n">
        <v>70</v>
      </c>
      <c r="B75" s="14" t="inlineStr">
        <is>
          <t>ALAM ZEB KHAN</t>
        </is>
      </c>
      <c r="C75" s="14" t="inlineStr">
        <is>
          <t>MECHANIC</t>
        </is>
      </c>
      <c r="D75" s="14" t="inlineStr">
        <is>
          <t>TN0268</t>
        </is>
      </c>
      <c r="E75" s="13" t="n">
        <v>6</v>
      </c>
      <c r="F75" s="15">
        <f>E75*8</f>
        <v/>
      </c>
      <c r="G75" s="16" t="n">
        <v>0</v>
      </c>
      <c r="H75" s="15">
        <f>F75+G75</f>
        <v/>
      </c>
      <c r="I75" s="16" t="n">
        <v>26.9</v>
      </c>
      <c r="J75" s="17">
        <f>IFERROR(I75/H75,0)</f>
        <v/>
      </c>
      <c r="K75" s="17">
        <f>MAX(0,1-J75)</f>
        <v/>
      </c>
      <c r="L75" s="18" t="n">
        <v>2288.56</v>
      </c>
      <c r="M75" s="16" t="n">
        <v>26.9</v>
      </c>
      <c r="N75" s="15">
        <f>M75+E75*2</f>
        <v/>
      </c>
      <c r="O75" s="17">
        <f>MIN(1.25,J75+15%)</f>
        <v/>
      </c>
      <c r="P75" s="17">
        <f>J75</f>
        <v/>
      </c>
      <c r="Q75" s="17">
        <f>MIN(1.25,O75*P75/90%)</f>
        <v/>
      </c>
    </row>
    <row r="76">
      <c r="A76" s="13" t="n">
        <v>71</v>
      </c>
      <c r="B76" s="14" t="inlineStr">
        <is>
          <t>Abdulla shekh</t>
        </is>
      </c>
      <c r="C76" s="14" t="inlineStr">
        <is>
          <t>PAINTER</t>
        </is>
      </c>
      <c r="D76" s="14" t="inlineStr">
        <is>
          <t>TN0269</t>
        </is>
      </c>
      <c r="E76" s="13" t="n">
        <v>7</v>
      </c>
      <c r="F76" s="15">
        <f>E76*8</f>
        <v/>
      </c>
      <c r="G76" s="16" t="n">
        <v>0</v>
      </c>
      <c r="H76" s="15">
        <f>F76+G76</f>
        <v/>
      </c>
      <c r="I76" s="16" t="n">
        <v>51.08</v>
      </c>
      <c r="J76" s="17">
        <f>IFERROR(I76/H76,0)</f>
        <v/>
      </c>
      <c r="K76" s="17">
        <f>MAX(0,1-J76)</f>
        <v/>
      </c>
      <c r="L76" s="18" t="n">
        <v>4420.42</v>
      </c>
      <c r="M76" s="16" t="n">
        <v>51.08</v>
      </c>
      <c r="N76" s="15">
        <f>M76+E76*2</f>
        <v/>
      </c>
      <c r="O76" s="17">
        <f>MIN(1.25,J76+15%)</f>
        <v/>
      </c>
      <c r="P76" s="17">
        <f>J76</f>
        <v/>
      </c>
      <c r="Q76" s="17">
        <f>MIN(1.25,O76*P76/90%)</f>
        <v/>
      </c>
    </row>
    <row r="77">
      <c r="A77" s="13" t="n">
        <v>72</v>
      </c>
      <c r="B77" s="14" t="inlineStr">
        <is>
          <t>Abdel Rahman</t>
        </is>
      </c>
      <c r="C77" s="14" t="inlineStr">
        <is>
          <t>PAINTER</t>
        </is>
      </c>
      <c r="D77" s="14" t="inlineStr">
        <is>
          <t>TN0270</t>
        </is>
      </c>
      <c r="E77" s="13" t="n">
        <v>6</v>
      </c>
      <c r="F77" s="15">
        <f>E77*8</f>
        <v/>
      </c>
      <c r="G77" s="16" t="n">
        <v>1</v>
      </c>
      <c r="H77" s="15">
        <f>F77+G77</f>
        <v/>
      </c>
      <c r="I77" s="16" t="n">
        <v>39.87</v>
      </c>
      <c r="J77" s="17">
        <f>IFERROR(I77/H77,0)</f>
        <v/>
      </c>
      <c r="K77" s="17">
        <f>MAX(0,1-J77)</f>
        <v/>
      </c>
      <c r="L77" s="18" t="n">
        <v>3342.07</v>
      </c>
      <c r="M77" s="16" t="n">
        <v>39.87</v>
      </c>
      <c r="N77" s="15">
        <f>M77+E77*2</f>
        <v/>
      </c>
      <c r="O77" s="17">
        <f>MIN(1.25,J77+15%)</f>
        <v/>
      </c>
      <c r="P77" s="17">
        <f>J77</f>
        <v/>
      </c>
      <c r="Q77" s="17">
        <f>MIN(1.25,O77*P77/90%)</f>
        <v/>
      </c>
    </row>
    <row r="78">
      <c r="A78" s="13" t="n">
        <v>73</v>
      </c>
      <c r="B78" s="14" t="inlineStr">
        <is>
          <t>RENJITH RADHAKRISHNAN NA</t>
        </is>
      </c>
      <c r="C78" s="14" t="inlineStr">
        <is>
          <t>PAINTER</t>
        </is>
      </c>
      <c r="D78" s="14" t="inlineStr">
        <is>
          <t>TN0272</t>
        </is>
      </c>
      <c r="E78" s="13" t="n">
        <v>3</v>
      </c>
      <c r="F78" s="15">
        <f>E78*8</f>
        <v/>
      </c>
      <c r="G78" s="16" t="n">
        <v>1</v>
      </c>
      <c r="H78" s="15">
        <f>F78+G78</f>
        <v/>
      </c>
      <c r="I78" s="16" t="n">
        <v>17.93</v>
      </c>
      <c r="J78" s="17">
        <f>IFERROR(I78/H78,0)</f>
        <v/>
      </c>
      <c r="K78" s="17">
        <f>MAX(0,1-J78)</f>
        <v/>
      </c>
      <c r="L78" s="18" t="n">
        <v>1556.01</v>
      </c>
      <c r="M78" s="16" t="n">
        <v>17.93</v>
      </c>
      <c r="N78" s="15">
        <f>M78+E78*2</f>
        <v/>
      </c>
      <c r="O78" s="17">
        <f>MIN(1.25,J78+15%)</f>
        <v/>
      </c>
      <c r="P78" s="17">
        <f>J78</f>
        <v/>
      </c>
      <c r="Q78" s="17">
        <f>MIN(1.25,O78*P78/90%)</f>
        <v/>
      </c>
    </row>
    <row r="79">
      <c r="A79" s="13" t="n">
        <v>74</v>
      </c>
      <c r="B79" s="14" t="inlineStr">
        <is>
          <t>RENJITH RADHAKRISHNAN NA</t>
        </is>
      </c>
      <c r="C79" s="14" t="inlineStr">
        <is>
          <t>PAINTER</t>
        </is>
      </c>
      <c r="D79" s="14" t="inlineStr">
        <is>
          <t>TN0272</t>
        </is>
      </c>
      <c r="E79" s="13" t="n">
        <v>2</v>
      </c>
      <c r="F79" s="15">
        <f>E79*8</f>
        <v/>
      </c>
      <c r="G79" s="16" t="n">
        <v>4</v>
      </c>
      <c r="H79" s="15">
        <f>F79+G79</f>
        <v/>
      </c>
      <c r="I79" s="16" t="n">
        <v>15.78</v>
      </c>
      <c r="J79" s="17">
        <f>IFERROR(I79/H79,0)</f>
        <v/>
      </c>
      <c r="K79" s="17">
        <f>MAX(0,1-J79)</f>
        <v/>
      </c>
      <c r="L79" s="18" t="n">
        <v>1348.96</v>
      </c>
      <c r="M79" s="16" t="n">
        <v>15.78</v>
      </c>
      <c r="N79" s="15">
        <f>M79+E79*2</f>
        <v/>
      </c>
      <c r="O79" s="17">
        <f>MIN(1.25,J79+15%)</f>
        <v/>
      </c>
      <c r="P79" s="17">
        <f>J79</f>
        <v/>
      </c>
      <c r="Q79" s="17">
        <f>MIN(1.25,O79*P79/90%)</f>
        <v/>
      </c>
    </row>
    <row r="80">
      <c r="A80" s="13" t="n">
        <v>75</v>
      </c>
      <c r="B80" s="14" t="inlineStr">
        <is>
          <t>AHID SHAIKH SHAIKH</t>
        </is>
      </c>
      <c r="C80" s="14" t="inlineStr">
        <is>
          <t>PAINTER</t>
        </is>
      </c>
      <c r="D80" s="14" t="inlineStr">
        <is>
          <t>TN0273</t>
        </is>
      </c>
      <c r="E80" s="13" t="n">
        <v>7</v>
      </c>
      <c r="F80" s="15">
        <f>E80*8</f>
        <v/>
      </c>
      <c r="G80" s="16" t="n">
        <v>1</v>
      </c>
      <c r="H80" s="15">
        <f>F80+G80</f>
        <v/>
      </c>
      <c r="I80" s="16" t="n">
        <v>43.4</v>
      </c>
      <c r="J80" s="17">
        <f>IFERROR(I80/H80,0)</f>
        <v/>
      </c>
      <c r="K80" s="17">
        <f>MAX(0,1-J80)</f>
        <v/>
      </c>
      <c r="L80" s="18" t="n">
        <v>3710.95</v>
      </c>
      <c r="M80" s="16" t="n">
        <v>43.4</v>
      </c>
      <c r="N80" s="15">
        <f>M80+E80*2</f>
        <v/>
      </c>
      <c r="O80" s="17">
        <f>MIN(1.25,J80+15%)</f>
        <v/>
      </c>
      <c r="P80" s="17">
        <f>J80</f>
        <v/>
      </c>
      <c r="Q80" s="17">
        <f>MIN(1.25,O80*P80/90%)</f>
        <v/>
      </c>
    </row>
    <row r="81">
      <c r="A81" s="13" t="n">
        <v>76</v>
      </c>
      <c r="B81" s="14" t="inlineStr">
        <is>
          <t>IBRAHIM KHAN</t>
        </is>
      </c>
      <c r="C81" s="14" t="inlineStr">
        <is>
          <t>DENTER</t>
        </is>
      </c>
      <c r="D81" s="14" t="inlineStr">
        <is>
          <t>TN0274</t>
        </is>
      </c>
      <c r="E81" s="13" t="n">
        <v>6</v>
      </c>
      <c r="F81" s="15">
        <f>E81*8</f>
        <v/>
      </c>
      <c r="G81" s="16" t="n">
        <v>0</v>
      </c>
      <c r="H81" s="15">
        <f>F81+G81</f>
        <v/>
      </c>
      <c r="I81" s="16" t="n">
        <v>34.41</v>
      </c>
      <c r="J81" s="17">
        <f>IFERROR(I81/H81,0)</f>
        <v/>
      </c>
      <c r="K81" s="17">
        <f>MAX(0,1-J81)</f>
        <v/>
      </c>
      <c r="L81" s="18" t="n">
        <v>2965.44</v>
      </c>
      <c r="M81" s="16" t="n">
        <v>34.41</v>
      </c>
      <c r="N81" s="15">
        <f>M81+E81*2</f>
        <v/>
      </c>
      <c r="O81" s="17">
        <f>MIN(1.25,J81+15%)</f>
        <v/>
      </c>
      <c r="P81" s="17">
        <f>J81</f>
        <v/>
      </c>
      <c r="Q81" s="17">
        <f>MIN(1.25,O81*P81/90%)</f>
        <v/>
      </c>
    </row>
    <row r="82">
      <c r="A82" s="13" t="n">
        <v>77</v>
      </c>
      <c r="B82" s="14" t="inlineStr">
        <is>
          <t>MUHAMMED SUFIAN QURESHI</t>
        </is>
      </c>
      <c r="C82" s="14" t="inlineStr">
        <is>
          <t>DENTER</t>
        </is>
      </c>
      <c r="D82" s="14" t="inlineStr">
        <is>
          <t>TN0275</t>
        </is>
      </c>
      <c r="E82" s="13" t="n">
        <v>7</v>
      </c>
      <c r="F82" s="15">
        <f>E82*8</f>
        <v/>
      </c>
      <c r="G82" s="16" t="n">
        <v>0</v>
      </c>
      <c r="H82" s="15">
        <f>F82+G82</f>
        <v/>
      </c>
      <c r="I82" s="16" t="n">
        <v>41.89</v>
      </c>
      <c r="J82" s="17">
        <f>IFERROR(I82/H82,0)</f>
        <v/>
      </c>
      <c r="K82" s="17">
        <f>MAX(0,1-J82)</f>
        <v/>
      </c>
      <c r="L82" s="18" t="n">
        <v>3620.3</v>
      </c>
      <c r="M82" s="16" t="n">
        <v>41.89</v>
      </c>
      <c r="N82" s="15">
        <f>M82+E82*2</f>
        <v/>
      </c>
      <c r="O82" s="17">
        <f>MIN(1.25,J82+15%)</f>
        <v/>
      </c>
      <c r="P82" s="17">
        <f>J82</f>
        <v/>
      </c>
      <c r="Q82" s="17">
        <f>MIN(1.25,O82*P82/90%)</f>
        <v/>
      </c>
    </row>
    <row r="83">
      <c r="A83" s="13" t="n">
        <v>78</v>
      </c>
      <c r="B83" s="14" t="inlineStr">
        <is>
          <t>RAGHU</t>
        </is>
      </c>
      <c r="C83" s="14" t="inlineStr">
        <is>
          <t>ELECTRICIAN</t>
        </is>
      </c>
      <c r="D83" s="14" t="inlineStr">
        <is>
          <t>TN0276</t>
        </is>
      </c>
      <c r="E83" s="13" t="n">
        <v>7</v>
      </c>
      <c r="F83" s="15">
        <f>E83*8</f>
        <v/>
      </c>
      <c r="G83" s="16" t="n">
        <v>0</v>
      </c>
      <c r="H83" s="15">
        <f>F83+G83</f>
        <v/>
      </c>
      <c r="I83" s="16" t="n">
        <v>41.72</v>
      </c>
      <c r="J83" s="17">
        <f>IFERROR(I83/H83,0)</f>
        <v/>
      </c>
      <c r="K83" s="17">
        <f>MAX(0,1-J83)</f>
        <v/>
      </c>
      <c r="L83" s="18" t="n">
        <v>3568.64</v>
      </c>
      <c r="M83" s="16" t="n">
        <v>41.72</v>
      </c>
      <c r="N83" s="15">
        <f>M83+E83*2</f>
        <v/>
      </c>
      <c r="O83" s="17">
        <f>MIN(1.25,J83+15%)</f>
        <v/>
      </c>
      <c r="P83" s="17">
        <f>J83</f>
        <v/>
      </c>
      <c r="Q83" s="17">
        <f>MIN(1.25,O83*P83/90%)</f>
        <v/>
      </c>
    </row>
    <row r="84">
      <c r="A84" s="13" t="n">
        <v>79</v>
      </c>
      <c r="B84" s="14" t="inlineStr">
        <is>
          <t>MAHAFUJ ALI MOHAMMAD</t>
        </is>
      </c>
      <c r="C84" s="14" t="inlineStr">
        <is>
          <t>PAINTER</t>
        </is>
      </c>
      <c r="D84" s="14" t="inlineStr">
        <is>
          <t>TN0277</t>
        </is>
      </c>
      <c r="E84" s="13" t="n">
        <v>7</v>
      </c>
      <c r="F84" s="15">
        <f>E84*8</f>
        <v/>
      </c>
      <c r="G84" s="16" t="n">
        <v>0</v>
      </c>
      <c r="H84" s="15">
        <f>F84+G84</f>
        <v/>
      </c>
      <c r="I84" s="16" t="n">
        <v>41.53</v>
      </c>
      <c r="J84" s="17">
        <f>IFERROR(I84/H84,0)</f>
        <v/>
      </c>
      <c r="K84" s="17">
        <f>MAX(0,1-J84)</f>
        <v/>
      </c>
      <c r="L84" s="18" t="n">
        <v>3471.75</v>
      </c>
      <c r="M84" s="16" t="n">
        <v>41.53</v>
      </c>
      <c r="N84" s="15">
        <f>M84+E84*2</f>
        <v/>
      </c>
      <c r="O84" s="17">
        <f>MIN(1.25,J84+15%)</f>
        <v/>
      </c>
      <c r="P84" s="17">
        <f>J84</f>
        <v/>
      </c>
      <c r="Q84" s="17">
        <f>MIN(1.25,O84*P84/90%)</f>
        <v/>
      </c>
    </row>
    <row r="85">
      <c r="A85" s="13" t="n">
        <v>80</v>
      </c>
      <c r="B85" s="14" t="inlineStr">
        <is>
          <t>SK MAKSOOD</t>
        </is>
      </c>
      <c r="C85" s="14" t="inlineStr">
        <is>
          <t>PAINTER</t>
        </is>
      </c>
      <c r="D85" s="14" t="inlineStr">
        <is>
          <t>TN0280</t>
        </is>
      </c>
      <c r="E85" s="13" t="n">
        <v>7</v>
      </c>
      <c r="F85" s="15">
        <f>E85*8</f>
        <v/>
      </c>
      <c r="G85" s="16" t="n">
        <v>4</v>
      </c>
      <c r="H85" s="15">
        <f>F85+G85</f>
        <v/>
      </c>
      <c r="I85" s="16" t="n">
        <v>48.45</v>
      </c>
      <c r="J85" s="17">
        <f>IFERROR(I85/H85,0)</f>
        <v/>
      </c>
      <c r="K85" s="17">
        <f>MAX(0,1-J85)</f>
        <v/>
      </c>
      <c r="L85" s="18" t="n">
        <v>4145.32</v>
      </c>
      <c r="M85" s="16" t="n">
        <v>48.45</v>
      </c>
      <c r="N85" s="15">
        <f>M85+E85*2</f>
        <v/>
      </c>
      <c r="O85" s="17">
        <f>MIN(1.25,J85+15%)</f>
        <v/>
      </c>
      <c r="P85" s="17">
        <f>J85</f>
        <v/>
      </c>
      <c r="Q85" s="17">
        <f>MIN(1.25,O85*P85/90%)</f>
        <v/>
      </c>
    </row>
    <row r="86">
      <c r="A86" s="13" t="n">
        <v>81</v>
      </c>
      <c r="B86" s="14" t="inlineStr">
        <is>
          <t>umar sadiq abdur rahman</t>
        </is>
      </c>
      <c r="C86" s="14" t="inlineStr">
        <is>
          <t>DENTER</t>
        </is>
      </c>
      <c r="D86" s="14" t="inlineStr">
        <is>
          <t>TN0281</t>
        </is>
      </c>
      <c r="E86" s="13" t="n">
        <v>6</v>
      </c>
      <c r="F86" s="15">
        <f>E86*8</f>
        <v/>
      </c>
      <c r="G86" s="16" t="n">
        <v>0</v>
      </c>
      <c r="H86" s="15">
        <f>F86+G86</f>
        <v/>
      </c>
      <c r="I86" s="16" t="n">
        <v>43.1</v>
      </c>
      <c r="J86" s="17">
        <f>IFERROR(I86/H86,0)</f>
        <v/>
      </c>
      <c r="K86" s="17">
        <f>MAX(0,1-J86)</f>
        <v/>
      </c>
      <c r="L86" s="18" t="n">
        <v>3626.89</v>
      </c>
      <c r="M86" s="16" t="n">
        <v>43.1</v>
      </c>
      <c r="N86" s="15">
        <f>M86+E86*2</f>
        <v/>
      </c>
      <c r="O86" s="17">
        <f>MIN(1.25,J86+15%)</f>
        <v/>
      </c>
      <c r="P86" s="17">
        <f>J86</f>
        <v/>
      </c>
      <c r="Q86" s="17">
        <f>MIN(1.25,O86*P86/90%)</f>
        <v/>
      </c>
    </row>
    <row r="87">
      <c r="A87" s="13" t="n">
        <v>82</v>
      </c>
      <c r="B87" s="14" t="inlineStr">
        <is>
          <t>DHANESH E. DEVADAS</t>
        </is>
      </c>
      <c r="C87" s="14" t="inlineStr">
        <is>
          <t>MECHANIC</t>
        </is>
      </c>
      <c r="D87" s="14" t="inlineStr">
        <is>
          <t>TN0283</t>
        </is>
      </c>
      <c r="E87" s="13" t="n">
        <v>6</v>
      </c>
      <c r="F87" s="15">
        <f>E87*8</f>
        <v/>
      </c>
      <c r="G87" s="16" t="n">
        <v>0</v>
      </c>
      <c r="H87" s="15">
        <f>F87+G87</f>
        <v/>
      </c>
      <c r="I87" s="16" t="n">
        <v>14.46</v>
      </c>
      <c r="J87" s="17">
        <f>IFERROR(I87/H87,0)</f>
        <v/>
      </c>
      <c r="K87" s="17">
        <f>MAX(0,1-J87)</f>
        <v/>
      </c>
      <c r="L87" s="18" t="n">
        <v>1223.98</v>
      </c>
      <c r="M87" s="16" t="n">
        <v>14.46</v>
      </c>
      <c r="N87" s="15">
        <f>M87+E87*2</f>
        <v/>
      </c>
      <c r="O87" s="17">
        <f>MIN(1.25,J87+15%)</f>
        <v/>
      </c>
      <c r="P87" s="17">
        <f>J87</f>
        <v/>
      </c>
      <c r="Q87" s="17">
        <f>MIN(1.25,O87*P87/90%)</f>
        <v/>
      </c>
    </row>
    <row r="88">
      <c r="A88" s="13" t="n">
        <v>83</v>
      </c>
      <c r="B88" s="14" t="inlineStr">
        <is>
          <t>Emmanuel Koranteng</t>
        </is>
      </c>
      <c r="C88" s="14" t="inlineStr">
        <is>
          <t>ELECTRICIAN</t>
        </is>
      </c>
      <c r="D88" s="14" t="inlineStr">
        <is>
          <t>TN0285</t>
        </is>
      </c>
      <c r="E88" s="13" t="n">
        <v>6</v>
      </c>
      <c r="F88" s="15">
        <f>E88*8</f>
        <v/>
      </c>
      <c r="G88" s="16" t="n">
        <v>0</v>
      </c>
      <c r="H88" s="15">
        <f>F88+G88</f>
        <v/>
      </c>
      <c r="I88" s="16" t="n">
        <v>32</v>
      </c>
      <c r="J88" s="17">
        <f>IFERROR(I88/H88,0)</f>
        <v/>
      </c>
      <c r="K88" s="17">
        <f>MAX(0,1-J88)</f>
        <v/>
      </c>
      <c r="L88" s="18" t="n">
        <v>2742.07</v>
      </c>
      <c r="M88" s="16" t="n">
        <v>32</v>
      </c>
      <c r="N88" s="15">
        <f>M88+E88*2</f>
        <v/>
      </c>
      <c r="O88" s="17">
        <f>MIN(1.25,J88+15%)</f>
        <v/>
      </c>
      <c r="P88" s="17">
        <f>J88</f>
        <v/>
      </c>
      <c r="Q88" s="17">
        <f>MIN(1.25,O88*P88/90%)</f>
        <v/>
      </c>
    </row>
    <row r="90">
      <c r="A90" s="19" t="n"/>
      <c r="B90" s="20" t="inlineStr">
        <is>
          <t>TOTAL / AVG</t>
        </is>
      </c>
      <c r="C90" s="19" t="n"/>
      <c r="D90" s="19" t="n"/>
      <c r="E90" s="21">
        <f>SUM(E6:E88)</f>
        <v/>
      </c>
      <c r="F90" s="21">
        <f>SUM(F6:F88)</f>
        <v/>
      </c>
      <c r="G90" s="21">
        <f>SUM(G6:G88)</f>
        <v/>
      </c>
      <c r="H90" s="21">
        <f>SUM(H6:H88)</f>
        <v/>
      </c>
      <c r="I90" s="21">
        <f>SUM(I6:I88)</f>
        <v/>
      </c>
      <c r="J90" s="22">
        <f>AVERAGE(J6:J88)</f>
        <v/>
      </c>
      <c r="K90" s="22">
        <f>AVERAGE(K6:K88)</f>
        <v/>
      </c>
      <c r="L90" s="23">
        <f>SUM(L6:L88)</f>
        <v/>
      </c>
      <c r="M90" s="21">
        <f>SUM(M6:M88)</f>
        <v/>
      </c>
      <c r="N90" s="21">
        <f>SUM(N6:N88)</f>
        <v/>
      </c>
      <c r="O90" s="22">
        <f>AVERAGE(O6:O88)</f>
        <v/>
      </c>
      <c r="P90" s="22">
        <f>AVERAGE(P6:P88)</f>
        <v/>
      </c>
      <c r="Q90" s="22">
        <f>AVERAGE(Q6:Q88)</f>
        <v/>
      </c>
    </row>
  </sheetData>
  <autoFilter ref="A5:Q88"/>
  <mergeCells count="3">
    <mergeCell ref="B2:Q2"/>
    <mergeCell ref="I1:M1"/>
    <mergeCell ref="A1:H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9" t="inlineStr">
        <is>
          <t>Simulation / Estimation Notes</t>
        </is>
      </c>
    </row>
    <row r="3">
      <c r="A3" t="inlineStr">
        <is>
          <t>1.</t>
        </is>
      </c>
      <c r="B3" s="31" t="inlineStr">
        <is>
          <t>Jul-2026 values are transcribed from the KPI report images supplied in this chat.</t>
        </is>
      </c>
    </row>
    <row r="4">
      <c r="A4" t="inlineStr">
        <is>
          <t>2.</t>
        </is>
      </c>
      <c r="B4" s="31" t="inlineStr">
        <is>
          <t>Jan-Jun and Aug-2026 are synthetic estimates generated close to each technician's Jul-2026 attendance, productivity and billing pattern.</t>
        </is>
      </c>
    </row>
    <row r="5">
      <c r="A5" t="inlineStr">
        <is>
          <t>3.</t>
        </is>
      </c>
      <c r="B5" s="31" t="inlineStr">
        <is>
          <t>Sep-2026 is month-to-date through 09-Sep-2026 and is scaled to a maximum of 7 workdays.</t>
        </is>
      </c>
    </row>
    <row r="6">
      <c r="A6" t="inlineStr">
        <is>
          <t>4.</t>
        </is>
      </c>
      <c r="B6" s="31" t="inlineStr">
        <is>
          <t>Estimated months are for planning/testing/demo purposes only and should not be treated as accounting, payroll, HR, or operational source-of-truth data.</t>
        </is>
      </c>
    </row>
    <row r="7">
      <c r="A7" t="inlineStr">
        <is>
          <t>5.</t>
        </is>
      </c>
      <c r="B7" s="31" t="inlineStr">
        <is>
          <t>Derived fields use formulas: Available Hrs = Days Present x 8; Total Hrs = Available Hrs + OT; Productivity = Worked / Total; Idle = 1 - Productivity; Billed Hours = Billed HRS + 2 x Days Present; U% and E% are modeled around the pattern visible in the supplied Jul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2026-09-08T23:51:09Z</dcterms:created>
  <dcterms:modified xmlns:dcterms="http://purl.org/dc/terms/" xmlns:xsi="http://www.w3.org/2001/XMLSchema-instance" xsi:type="dcterms:W3CDTF">2026-09-08T23:51:11Z</dcterms:modified>
</cp:coreProperties>
</file>